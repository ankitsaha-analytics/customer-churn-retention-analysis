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8b3c0b7b9593ab/Desktop/Data analyst Projects/"/>
    </mc:Choice>
  </mc:AlternateContent>
  <xr:revisionPtr revIDLastSave="457" documentId="8_{BF493F3F-497E-4F0D-A1E5-38F086411BF8}" xr6:coauthVersionLast="47" xr6:coauthVersionMax="47" xr10:uidLastSave="{B773F2E8-8016-46F3-8826-451E25CBB817}"/>
  <bookViews>
    <workbookView xWindow="-108" yWindow="-108" windowWidth="23256" windowHeight="12456" xr2:uid="{EED7A5FA-59BD-4E1D-91E2-9FA7CE2E8DC3}"/>
  </bookViews>
  <sheets>
    <sheet name="Telco_Customer_Churn_RAW" sheetId="1" r:id="rId1"/>
  </sheets>
  <definedNames>
    <definedName name="_xlnm._FilterDatabase" localSheetId="0" hidden="1">Telco_Customer_Churn_RAW!$A$1:$U$7044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24" i="1" l="1"/>
  <c r="Z123" i="1"/>
  <c r="Y124" i="1"/>
  <c r="W124" i="1"/>
  <c r="Y123" i="1"/>
  <c r="W123" i="1"/>
  <c r="Z120" i="1"/>
  <c r="Z119" i="1"/>
  <c r="Y120" i="1"/>
  <c r="W120" i="1"/>
  <c r="Y119" i="1"/>
  <c r="W119" i="1"/>
  <c r="Z116" i="1"/>
  <c r="Z115" i="1"/>
  <c r="Z114" i="1"/>
  <c r="Z110" i="1"/>
  <c r="Z109" i="1"/>
  <c r="Z108" i="1"/>
  <c r="Z105" i="1"/>
  <c r="Z104" i="1"/>
  <c r="Z103" i="1"/>
  <c r="Y116" i="1"/>
  <c r="W116" i="1"/>
  <c r="Y115" i="1"/>
  <c r="W115" i="1"/>
  <c r="Y114" i="1"/>
  <c r="W114" i="1"/>
  <c r="Y110" i="1"/>
  <c r="W110" i="1"/>
  <c r="Y109" i="1"/>
  <c r="W109" i="1"/>
  <c r="Y108" i="1"/>
  <c r="W108" i="1"/>
  <c r="Y105" i="1"/>
  <c r="Y104" i="1"/>
  <c r="W104" i="1"/>
  <c r="Y103" i="1"/>
  <c r="W103" i="1"/>
  <c r="W105" i="1"/>
  <c r="Z100" i="1"/>
  <c r="Z99" i="1"/>
  <c r="Z98" i="1"/>
  <c r="Y100" i="1"/>
  <c r="W100" i="1"/>
  <c r="Y99" i="1"/>
  <c r="W99" i="1"/>
  <c r="Y98" i="1"/>
  <c r="W98" i="1"/>
  <c r="Z95" i="1"/>
  <c r="Z94" i="1"/>
  <c r="Z93" i="1"/>
  <c r="Y95" i="1"/>
  <c r="W95" i="1"/>
  <c r="Y94" i="1"/>
  <c r="W94" i="1"/>
  <c r="Y93" i="1"/>
  <c r="W93" i="1"/>
  <c r="Y90" i="1"/>
  <c r="W90" i="1"/>
  <c r="Z89" i="1"/>
  <c r="Z88" i="1"/>
  <c r="Z87" i="1"/>
  <c r="Y88" i="1"/>
  <c r="W88" i="1"/>
  <c r="Y89" i="1"/>
  <c r="W89" i="1"/>
  <c r="Y87" i="1"/>
  <c r="W87" i="1"/>
  <c r="Z84" i="1"/>
  <c r="Y84" i="1"/>
  <c r="W84" i="1"/>
  <c r="Z83" i="1"/>
  <c r="Z82" i="1"/>
  <c r="Y83" i="1"/>
  <c r="W83" i="1"/>
  <c r="Y82" i="1"/>
  <c r="W82" i="1"/>
  <c r="Z79" i="1"/>
  <c r="Y79" i="1"/>
  <c r="W79" i="1"/>
  <c r="Z78" i="1"/>
  <c r="Z77" i="1"/>
  <c r="Y78" i="1"/>
  <c r="W78" i="1"/>
  <c r="Y77" i="1"/>
  <c r="W77" i="1"/>
  <c r="Z74" i="1"/>
  <c r="Z73" i="1"/>
  <c r="Y74" i="1"/>
  <c r="W74" i="1"/>
  <c r="Y73" i="1"/>
  <c r="W73" i="1"/>
  <c r="Z70" i="1"/>
  <c r="Z69" i="1"/>
  <c r="Y70" i="1"/>
  <c r="W70" i="1"/>
  <c r="Y69" i="1"/>
  <c r="W69" i="1"/>
  <c r="Z66" i="1"/>
  <c r="Z65" i="1"/>
  <c r="Y66" i="1"/>
  <c r="W66" i="1"/>
  <c r="Y65" i="1"/>
  <c r="W65" i="1"/>
  <c r="Z61" i="1"/>
  <c r="Z60" i="1"/>
  <c r="Z59" i="1"/>
  <c r="Z58" i="1"/>
  <c r="Y61" i="1"/>
  <c r="W61" i="1"/>
  <c r="Y60" i="1"/>
  <c r="W60" i="1"/>
  <c r="Y59" i="1"/>
  <c r="W59" i="1"/>
  <c r="Y58" i="1"/>
  <c r="W58" i="1"/>
  <c r="Y54" i="1"/>
  <c r="Z54" i="1" s="1"/>
  <c r="Z53" i="1"/>
  <c r="Z52" i="1"/>
  <c r="Y53" i="1"/>
  <c r="Y52" i="1"/>
  <c r="W54" i="1"/>
  <c r="W53" i="1"/>
  <c r="W52" i="1"/>
  <c r="Z34" i="1"/>
  <c r="Z31" i="1"/>
  <c r="Z28" i="1"/>
  <c r="Y35" i="1"/>
  <c r="Y34" i="1"/>
  <c r="Y32" i="1"/>
  <c r="Y31" i="1"/>
  <c r="Y29" i="1"/>
  <c r="Y28" i="1"/>
  <c r="Z25" i="1"/>
  <c r="Y26" i="1"/>
  <c r="Y25" i="1"/>
  <c r="W43" i="1"/>
  <c r="W41" i="1"/>
  <c r="W39" i="1"/>
  <c r="W36" i="1"/>
  <c r="V36" i="1" s="1"/>
  <c r="W34" i="1"/>
  <c r="V34" i="1" s="1"/>
  <c r="W28" i="1"/>
  <c r="W30" i="1" s="1"/>
  <c r="W31" i="1"/>
  <c r="W29" i="1"/>
  <c r="W27" i="1"/>
  <c r="W26" i="1"/>
  <c r="W25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Z90" i="1" l="1"/>
  <c r="V32" i="1"/>
</calcChain>
</file>

<file path=xl/sharedStrings.xml><?xml version="1.0" encoding="utf-8"?>
<sst xmlns="http://schemas.openxmlformats.org/spreadsheetml/2006/main" count="119843" uniqueCount="7113">
  <si>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</si>
  <si>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</si>
  <si>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</si>
  <si>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</si>
  <si>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</si>
  <si>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</si>
  <si>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</si>
  <si>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</si>
  <si>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</si>
  <si>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</si>
  <si>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</si>
  <si>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</si>
  <si>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</si>
  <si>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</si>
  <si>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</si>
  <si>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</si>
  <si>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</si>
  <si>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</si>
  <si>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</si>
  <si>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</si>
  <si>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</si>
  <si>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</si>
  <si>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</si>
  <si>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</si>
  <si>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</si>
  <si>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</si>
  <si>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</si>
  <si>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</si>
  <si>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</si>
  <si>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</si>
  <si>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</si>
  <si>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</si>
  <si>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</si>
  <si>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</si>
  <si>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</si>
  <si>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</si>
  <si>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</si>
  <si>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</si>
  <si>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</si>
  <si>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</si>
  <si>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</si>
  <si>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</si>
  <si>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</si>
  <si>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</si>
  <si>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</si>
  <si>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</si>
  <si>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</si>
  <si>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</si>
  <si>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</si>
  <si>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</si>
  <si>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</si>
  <si>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</si>
  <si>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</si>
  <si>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</si>
  <si>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</si>
  <si>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</si>
  <si>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</si>
  <si>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</si>
  <si>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</si>
  <si>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</si>
  <si>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</si>
  <si>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</si>
  <si>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</si>
  <si>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</si>
  <si>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</si>
  <si>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</si>
  <si>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</si>
  <si>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</si>
  <si>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</si>
  <si>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</si>
  <si>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</si>
  <si>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</si>
  <si>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</si>
  <si>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</si>
  <si>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</si>
  <si>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</si>
  <si>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</si>
  <si>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</si>
  <si>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</si>
  <si>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</si>
  <si>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</si>
  <si>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</si>
  <si>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</si>
  <si>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</si>
  <si>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</si>
  <si>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</si>
  <si>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</si>
  <si>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</si>
  <si>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</si>
  <si>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</si>
  <si>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</si>
  <si>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</si>
  <si>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</si>
  <si>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</si>
  <si>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</si>
  <si>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</si>
  <si>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</si>
  <si>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</si>
  <si>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</si>
  <si>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</si>
  <si>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</si>
  <si>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</si>
  <si>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</si>
  <si>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</si>
  <si>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</si>
  <si>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</si>
  <si>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</si>
  <si>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</si>
  <si>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</si>
  <si>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</si>
  <si>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</si>
  <si>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</si>
  <si>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</si>
  <si>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</si>
  <si>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</si>
  <si>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</si>
  <si>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</si>
  <si>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</si>
  <si>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</si>
  <si>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</si>
  <si>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</si>
  <si>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</si>
  <si>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</si>
  <si>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</si>
  <si>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</si>
  <si>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</si>
  <si>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</si>
  <si>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</si>
  <si>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</si>
  <si>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</si>
  <si>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</si>
  <si>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</si>
  <si>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</si>
  <si>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</si>
  <si>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</si>
  <si>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</si>
  <si>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</si>
  <si>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</si>
  <si>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</si>
  <si>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</si>
  <si>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</si>
  <si>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</si>
  <si>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</si>
  <si>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</si>
  <si>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</si>
  <si>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</si>
  <si>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</si>
  <si>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</si>
  <si>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</si>
  <si>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</si>
  <si>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</si>
  <si>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</si>
  <si>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</si>
  <si>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</si>
  <si>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</si>
  <si>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</si>
  <si>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</si>
  <si>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</si>
  <si>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</si>
  <si>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</si>
  <si>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</si>
  <si>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</si>
  <si>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</si>
  <si>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</si>
  <si>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</si>
  <si>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</si>
  <si>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</si>
  <si>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</si>
  <si>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</si>
  <si>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</si>
  <si>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</si>
  <si>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</si>
  <si>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</si>
  <si>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</si>
  <si>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</si>
  <si>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</si>
  <si>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</si>
  <si>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</si>
  <si>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</si>
  <si>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</si>
  <si>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</si>
  <si>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</si>
  <si>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</si>
  <si>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</si>
  <si>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</si>
  <si>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</si>
  <si>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</si>
  <si>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</si>
  <si>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</si>
  <si>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</si>
  <si>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</si>
  <si>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</si>
  <si>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</si>
  <si>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</si>
  <si>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</si>
  <si>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</si>
  <si>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</si>
  <si>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</si>
  <si>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</si>
  <si>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</si>
  <si>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</si>
  <si>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</si>
  <si>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</si>
  <si>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</si>
  <si>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</si>
  <si>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</si>
  <si>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</si>
  <si>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</si>
  <si>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</si>
  <si>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</si>
  <si>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</si>
  <si>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</si>
  <si>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</si>
  <si>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</si>
  <si>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</si>
  <si>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</si>
  <si>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</si>
  <si>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</si>
  <si>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</si>
  <si>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</si>
  <si>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</si>
  <si>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</si>
  <si>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</si>
  <si>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</si>
  <si>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</si>
  <si>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</si>
  <si>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</si>
  <si>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</si>
  <si>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</si>
  <si>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</si>
  <si>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</si>
  <si>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</si>
  <si>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</si>
  <si>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</si>
  <si>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</si>
  <si>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</si>
  <si>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</si>
  <si>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</si>
  <si>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</si>
  <si>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</si>
  <si>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</si>
  <si>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</si>
  <si>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</si>
  <si>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</si>
  <si>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</si>
  <si>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</si>
  <si>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</si>
  <si>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</si>
  <si>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</si>
  <si>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</si>
  <si>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</si>
  <si>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</si>
  <si>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</si>
  <si>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</si>
  <si>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</si>
  <si>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</si>
  <si>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</si>
  <si>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</si>
  <si>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</si>
  <si>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</si>
  <si>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</si>
  <si>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</si>
  <si>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</si>
  <si>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</si>
  <si>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</si>
  <si>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</si>
  <si>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</si>
  <si>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</si>
  <si>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</si>
  <si>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</si>
  <si>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</si>
  <si>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</si>
  <si>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</si>
  <si>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</si>
  <si>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</si>
  <si>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</si>
  <si>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</si>
  <si>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</si>
  <si>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</si>
  <si>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</si>
  <si>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</si>
  <si>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</si>
  <si>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</si>
  <si>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</si>
  <si>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</si>
  <si>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</si>
  <si>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</si>
  <si>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</si>
  <si>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</si>
  <si>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</si>
  <si>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</si>
  <si>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</si>
  <si>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</si>
  <si>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</si>
  <si>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</si>
  <si>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</si>
  <si>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</si>
  <si>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</si>
  <si>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</si>
  <si>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</si>
  <si>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</si>
  <si>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</si>
  <si>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</si>
  <si>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</si>
  <si>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</si>
  <si>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</si>
  <si>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</si>
  <si>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</si>
  <si>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</si>
  <si>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</si>
  <si>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</si>
  <si>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</si>
  <si>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</si>
  <si>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</si>
  <si>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</si>
  <si>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</si>
  <si>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</si>
  <si>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</si>
  <si>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</si>
  <si>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</si>
  <si>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</si>
  <si>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</si>
  <si>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</si>
  <si>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</si>
  <si>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</si>
  <si>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</si>
  <si>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</si>
  <si>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</si>
  <si>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</si>
  <si>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</si>
  <si>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</si>
  <si>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</si>
  <si>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</si>
  <si>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</si>
  <si>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</si>
  <si>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</si>
  <si>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</si>
  <si>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</si>
  <si>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</si>
  <si>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</si>
  <si>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</si>
  <si>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</si>
  <si>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</si>
  <si>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</si>
  <si>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</si>
  <si>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</si>
  <si>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</si>
  <si>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</si>
  <si>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</si>
  <si>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</si>
  <si>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</si>
  <si>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</si>
  <si>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</si>
  <si>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</si>
  <si>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</si>
  <si>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</si>
  <si>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</si>
  <si>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</si>
  <si>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</si>
  <si>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</si>
  <si>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</si>
  <si>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</si>
  <si>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</si>
  <si>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</si>
  <si>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</si>
  <si>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</si>
  <si>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</si>
  <si>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</si>
  <si>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</si>
  <si>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</si>
  <si>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</si>
  <si>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</si>
  <si>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</si>
  <si>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</si>
  <si>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</si>
  <si>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</si>
  <si>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</si>
  <si>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</si>
  <si>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</si>
  <si>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</si>
  <si>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</si>
  <si>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</si>
  <si>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</si>
  <si>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</si>
  <si>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</si>
  <si>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</si>
  <si>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</si>
  <si>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</si>
  <si>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</si>
  <si>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</si>
  <si>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</si>
  <si>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</si>
  <si>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</si>
  <si>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</si>
  <si>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</si>
  <si>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</si>
  <si>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</si>
  <si>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</si>
  <si>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</si>
  <si>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</si>
  <si>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</si>
  <si>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</si>
  <si>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</si>
  <si>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</si>
  <si>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</si>
  <si>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</si>
  <si>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</si>
  <si>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</si>
  <si>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</si>
  <si>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</si>
  <si>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</si>
  <si>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</si>
  <si>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</si>
  <si>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</si>
  <si>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</si>
  <si>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</si>
  <si>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</si>
  <si>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</si>
  <si>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</si>
  <si>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</si>
  <si>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</si>
  <si>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</si>
  <si>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</si>
  <si>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</si>
  <si>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</si>
  <si>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</si>
  <si>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</si>
  <si>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</si>
  <si>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</si>
  <si>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</si>
  <si>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</si>
  <si>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</si>
  <si>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</si>
  <si>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</si>
  <si>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</si>
  <si>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</si>
  <si>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</si>
  <si>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</si>
  <si>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</si>
  <si>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</si>
  <si>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</si>
  <si>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</si>
  <si>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</si>
  <si>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</si>
  <si>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</si>
  <si>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</si>
  <si>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</si>
  <si>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</si>
  <si>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</si>
  <si>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</si>
  <si>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</si>
  <si>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</si>
  <si>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</si>
  <si>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</si>
  <si>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</si>
  <si>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</si>
  <si>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</si>
  <si>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</si>
  <si>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</si>
  <si>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</si>
  <si>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</si>
  <si>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</si>
  <si>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</si>
  <si>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</si>
  <si>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</si>
  <si>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</si>
  <si>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</si>
  <si>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</si>
  <si>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</si>
  <si>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</si>
  <si>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</si>
  <si>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</si>
  <si>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</si>
  <si>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</si>
  <si>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</si>
  <si>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</si>
  <si>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</si>
  <si>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</si>
  <si>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</si>
  <si>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</si>
  <si>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</si>
  <si>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</si>
  <si>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</si>
  <si>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</si>
  <si>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</si>
  <si>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</si>
  <si>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</si>
  <si>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</si>
  <si>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</si>
  <si>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</si>
  <si>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</si>
  <si>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</si>
  <si>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</si>
  <si>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</si>
  <si>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</si>
  <si>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</si>
  <si>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</si>
  <si>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</si>
  <si>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</si>
  <si>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</si>
  <si>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</si>
  <si>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</si>
  <si>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</si>
  <si>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</si>
  <si>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</si>
  <si>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</si>
  <si>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</si>
  <si>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</si>
  <si>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</si>
  <si>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</si>
  <si>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</si>
  <si>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</si>
  <si>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</si>
  <si>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</si>
  <si>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</si>
  <si>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</si>
  <si>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</si>
  <si>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</si>
  <si>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</si>
  <si>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</si>
  <si>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</si>
  <si>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</si>
  <si>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</si>
  <si>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</si>
  <si>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</si>
  <si>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</si>
  <si>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</si>
  <si>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</si>
  <si>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</si>
  <si>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</si>
  <si>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</si>
  <si>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</si>
  <si>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</si>
  <si>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</si>
  <si>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</si>
  <si>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</si>
  <si>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</si>
  <si>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</si>
  <si>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</si>
  <si>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</si>
  <si>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</si>
  <si>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</si>
  <si>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</si>
  <si>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</si>
  <si>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</si>
  <si>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</si>
  <si>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</si>
  <si>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</si>
  <si>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</si>
  <si>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</si>
  <si>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</si>
  <si>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</si>
  <si>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</si>
  <si>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</si>
  <si>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</si>
  <si>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</si>
  <si>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</si>
  <si>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</si>
  <si>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</si>
  <si>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</si>
  <si>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</si>
  <si>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</si>
  <si>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</si>
  <si>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</si>
  <si>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</si>
  <si>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</si>
  <si>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</si>
  <si>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</si>
  <si>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</si>
  <si>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</si>
  <si>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</si>
  <si>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</si>
  <si>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</si>
  <si>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</si>
  <si>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</si>
  <si>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</si>
  <si>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</si>
  <si>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</si>
  <si>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</si>
  <si>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</si>
  <si>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</si>
  <si>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</si>
  <si>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</si>
  <si>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</si>
  <si>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</si>
  <si>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</si>
  <si>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</si>
  <si>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</si>
  <si>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</si>
  <si>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</si>
  <si>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</si>
  <si>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</si>
  <si>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</si>
  <si>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</si>
  <si>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</si>
  <si>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</si>
  <si>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</si>
  <si>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</si>
  <si>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</si>
  <si>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</si>
  <si>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</si>
  <si>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</si>
  <si>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</si>
  <si>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</si>
  <si>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</si>
  <si>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</si>
  <si>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</si>
  <si>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</si>
  <si>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</si>
  <si>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</si>
  <si>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</si>
  <si>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</si>
  <si>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</si>
  <si>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</si>
  <si>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</si>
  <si>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</si>
  <si>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</si>
  <si>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</si>
  <si>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</si>
  <si>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</si>
  <si>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</si>
  <si>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</si>
  <si>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</si>
  <si>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</si>
  <si>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</si>
  <si>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</si>
  <si>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</si>
  <si>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</si>
  <si>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</si>
  <si>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</si>
  <si>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</si>
  <si>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</si>
  <si>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</si>
  <si>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</si>
  <si>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</si>
  <si>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</si>
  <si>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</si>
  <si>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</si>
  <si>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</si>
  <si>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</si>
  <si>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</si>
  <si>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</si>
  <si>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</si>
  <si>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</si>
  <si>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</si>
  <si>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</si>
  <si>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</si>
  <si>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</si>
  <si>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</si>
  <si>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</si>
  <si>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</si>
  <si>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</si>
  <si>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</si>
  <si>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</si>
  <si>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</si>
  <si>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</si>
  <si>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</si>
  <si>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</si>
  <si>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</si>
  <si>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</si>
  <si>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</si>
  <si>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</si>
  <si>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</si>
  <si>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</si>
  <si>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</si>
  <si>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</si>
  <si>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</si>
  <si>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</si>
  <si>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</si>
  <si>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</si>
  <si>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</si>
  <si>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</si>
  <si>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</si>
  <si>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</si>
  <si>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</si>
  <si>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</si>
  <si>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</si>
  <si>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</si>
  <si>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</si>
  <si>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</si>
  <si>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</si>
  <si>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</si>
  <si>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</si>
  <si>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</si>
  <si>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</si>
  <si>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</si>
  <si>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</si>
  <si>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</si>
  <si>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</si>
  <si>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</si>
  <si>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</si>
  <si>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</si>
  <si>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</si>
  <si>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</si>
  <si>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</si>
  <si>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</si>
  <si>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</si>
  <si>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</si>
  <si>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</si>
  <si>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</si>
  <si>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</si>
  <si>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</si>
  <si>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</si>
  <si>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</si>
  <si>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</si>
  <si>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</si>
  <si>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</si>
  <si>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</si>
  <si>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</si>
  <si>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</si>
  <si>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</si>
  <si>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</si>
  <si>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</si>
  <si>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</si>
  <si>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</si>
  <si>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</si>
  <si>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</si>
  <si>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</si>
  <si>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</si>
  <si>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</si>
  <si>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</si>
  <si>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</si>
  <si>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</si>
  <si>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</si>
  <si>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</si>
  <si>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</si>
  <si>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</si>
  <si>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</si>
  <si>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</si>
  <si>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</si>
  <si>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</si>
  <si>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</si>
  <si>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</si>
  <si>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</si>
  <si>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</si>
  <si>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</si>
  <si>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</si>
  <si>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</si>
  <si>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</si>
  <si>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</si>
  <si>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</si>
  <si>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</si>
  <si>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</si>
  <si>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</si>
  <si>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</si>
  <si>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</si>
  <si>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</si>
  <si>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</si>
  <si>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</si>
  <si>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</si>
  <si>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</si>
  <si>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</si>
  <si>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</si>
  <si>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</si>
  <si>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</si>
  <si>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</si>
  <si>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</si>
  <si>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</si>
  <si>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</si>
  <si>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</si>
  <si>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</si>
  <si>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</si>
  <si>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</si>
  <si>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</si>
  <si>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</si>
  <si>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</si>
  <si>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</si>
  <si>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</si>
  <si>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</si>
  <si>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</si>
  <si>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</si>
  <si>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</si>
  <si>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</si>
  <si>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</si>
  <si>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</si>
  <si>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</si>
  <si>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</si>
  <si>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</si>
  <si>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</si>
  <si>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</si>
  <si>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</si>
  <si>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</si>
  <si>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</si>
  <si>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</si>
  <si>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</si>
  <si>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</si>
  <si>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</si>
  <si>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</si>
  <si>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</si>
  <si>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</si>
  <si>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</si>
  <si>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</si>
  <si>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</si>
  <si>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</si>
  <si>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</si>
  <si>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</si>
  <si>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</si>
  <si>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</si>
  <si>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</si>
  <si>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</si>
  <si>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</si>
  <si>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</si>
  <si>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</si>
  <si>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</si>
  <si>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</si>
  <si>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</si>
  <si>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</si>
  <si>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</si>
  <si>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</si>
  <si>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</si>
  <si>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</si>
  <si>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</si>
  <si>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</si>
  <si>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</si>
  <si>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</si>
  <si>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</si>
  <si>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</si>
  <si>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</si>
  <si>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</si>
  <si>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</si>
  <si>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</si>
  <si>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</si>
  <si>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</si>
  <si>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</si>
  <si>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</si>
  <si>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</si>
  <si>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</si>
  <si>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</si>
  <si>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</si>
  <si>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</si>
  <si>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</si>
  <si>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</si>
  <si>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</si>
  <si>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</si>
  <si>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</si>
  <si>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</si>
  <si>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</si>
  <si>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</si>
  <si>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</si>
  <si>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</si>
  <si>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</si>
  <si>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</si>
  <si>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</si>
  <si>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</si>
  <si>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</si>
  <si>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</si>
  <si>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</si>
  <si>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</si>
  <si>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</si>
  <si>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</si>
  <si>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</si>
  <si>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</si>
  <si>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</si>
  <si>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</si>
  <si>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</si>
  <si>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</si>
  <si>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</si>
  <si>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</si>
  <si>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</si>
  <si>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</si>
  <si>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</si>
  <si>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</si>
  <si>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</si>
  <si>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</si>
  <si>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</si>
  <si>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</si>
  <si>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</si>
  <si>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</si>
  <si>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</si>
  <si>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</si>
  <si>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</si>
  <si>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</si>
  <si>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</si>
  <si>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</si>
  <si>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</si>
  <si>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</si>
  <si>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</si>
  <si>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</si>
  <si>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</si>
  <si>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</si>
  <si>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</si>
  <si>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</si>
  <si>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</si>
  <si>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</si>
  <si>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</si>
  <si>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</si>
  <si>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</si>
  <si>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</si>
  <si>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</si>
  <si>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</si>
  <si>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</si>
  <si>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</si>
  <si>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</si>
  <si>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</si>
  <si>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</si>
  <si>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</si>
  <si>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</si>
  <si>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</si>
  <si>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</si>
  <si>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</si>
  <si>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</si>
  <si>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</si>
  <si>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</si>
  <si>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</si>
  <si>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</si>
  <si>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</si>
  <si>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</si>
  <si>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</si>
  <si>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</si>
  <si>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</si>
  <si>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</si>
  <si>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</si>
  <si>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</si>
  <si>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</si>
  <si>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</si>
  <si>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</si>
  <si>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</si>
  <si>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</si>
  <si>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</si>
  <si>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</si>
  <si>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</si>
  <si>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</si>
  <si>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</si>
  <si>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</si>
  <si>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</si>
  <si>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</si>
  <si>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</si>
  <si>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</si>
  <si>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</si>
  <si>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</si>
  <si>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</si>
  <si>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</si>
  <si>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</si>
  <si>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</si>
  <si>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</si>
  <si>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</si>
  <si>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</si>
  <si>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</si>
  <si>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</si>
  <si>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</si>
  <si>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</si>
  <si>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</si>
  <si>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</si>
  <si>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</si>
  <si>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</si>
  <si>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</si>
  <si>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</si>
  <si>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</si>
  <si>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</si>
  <si>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</si>
  <si>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</si>
  <si>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</si>
  <si>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</si>
  <si>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</si>
  <si>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</si>
  <si>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</si>
  <si>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</si>
  <si>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</si>
  <si>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</si>
  <si>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</si>
  <si>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</si>
  <si>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</si>
  <si>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</si>
  <si>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</si>
  <si>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</si>
  <si>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</si>
  <si>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</si>
  <si>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</si>
  <si>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</si>
  <si>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</si>
  <si>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</si>
  <si>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</si>
  <si>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</si>
  <si>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</si>
  <si>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</si>
  <si>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</si>
  <si>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</si>
  <si>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</si>
  <si>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</si>
  <si>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</si>
  <si>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</si>
  <si>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</si>
  <si>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</si>
  <si>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</si>
  <si>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</si>
  <si>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</si>
  <si>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</si>
  <si>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</si>
  <si>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</si>
  <si>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</si>
  <si>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</si>
  <si>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</si>
  <si>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</si>
  <si>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</si>
  <si>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</si>
  <si>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</si>
  <si>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</si>
  <si>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</si>
  <si>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</si>
  <si>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</si>
  <si>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</si>
  <si>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</si>
  <si>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</si>
  <si>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</si>
  <si>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</si>
  <si>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</si>
  <si>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</si>
  <si>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</si>
  <si>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</si>
  <si>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</si>
  <si>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</si>
  <si>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</si>
  <si>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</si>
  <si>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</si>
  <si>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</si>
  <si>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</si>
  <si>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</si>
  <si>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</si>
  <si>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</si>
  <si>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</si>
  <si>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</si>
  <si>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</si>
  <si>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</si>
  <si>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</si>
  <si>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</si>
  <si>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</si>
  <si>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</si>
  <si>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</si>
  <si>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</si>
  <si>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</si>
  <si>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</si>
  <si>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</si>
  <si>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</si>
  <si>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</si>
  <si>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</si>
  <si>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</si>
  <si>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</si>
  <si>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</si>
  <si>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</si>
  <si>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</si>
  <si>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</si>
  <si>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</si>
  <si>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</si>
  <si>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</si>
  <si>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</si>
  <si>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</si>
  <si>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</si>
  <si>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</si>
  <si>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</si>
  <si>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</si>
  <si>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</si>
  <si>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</si>
  <si>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</si>
  <si>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</si>
  <si>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</si>
  <si>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</si>
  <si>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</si>
  <si>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</si>
  <si>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</si>
  <si>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</si>
  <si>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</si>
  <si>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</si>
  <si>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</si>
  <si>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</si>
  <si>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</si>
  <si>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</si>
  <si>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</si>
  <si>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</si>
  <si>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</si>
  <si>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</si>
  <si>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</si>
  <si>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</si>
  <si>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</si>
  <si>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</si>
  <si>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</si>
  <si>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</si>
  <si>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</si>
  <si>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</si>
  <si>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</si>
  <si>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</si>
  <si>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</si>
  <si>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</si>
  <si>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</si>
  <si>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</si>
  <si>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</si>
  <si>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</si>
  <si>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</si>
  <si>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</si>
  <si>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</si>
  <si>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</si>
  <si>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</si>
  <si>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</si>
  <si>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</si>
  <si>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</si>
  <si>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</si>
  <si>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</si>
  <si>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</si>
  <si>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</si>
  <si>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</si>
  <si>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</si>
  <si>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</si>
  <si>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</si>
  <si>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</si>
  <si>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</si>
  <si>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</si>
  <si>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</si>
  <si>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</si>
  <si>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</si>
  <si>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</si>
  <si>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</si>
  <si>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</si>
  <si>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</si>
  <si>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</si>
  <si>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</si>
  <si>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</si>
  <si>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</si>
  <si>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</si>
  <si>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</si>
  <si>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</si>
  <si>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</si>
  <si>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</si>
  <si>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</si>
  <si>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</si>
  <si>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</si>
  <si>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</si>
  <si>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</si>
  <si>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</si>
  <si>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</si>
  <si>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</si>
  <si>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</si>
  <si>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</si>
  <si>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</si>
  <si>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</si>
  <si>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</si>
  <si>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</si>
  <si>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</si>
  <si>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</si>
  <si>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</si>
  <si>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</si>
  <si>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</si>
  <si>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</si>
  <si>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</si>
  <si>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</si>
  <si>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</si>
  <si>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</si>
  <si>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</si>
  <si>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</si>
  <si>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</si>
  <si>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</si>
  <si>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</si>
  <si>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</si>
  <si>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</si>
  <si>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</si>
  <si>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</si>
  <si>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</si>
  <si>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</si>
  <si>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</si>
  <si>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</si>
  <si>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</si>
  <si>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</si>
  <si>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</si>
  <si>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</si>
  <si>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</si>
  <si>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</si>
  <si>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</si>
  <si>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</si>
  <si>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</si>
  <si>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</si>
  <si>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</si>
  <si>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</si>
  <si>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</si>
  <si>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</si>
  <si>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</si>
  <si>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</si>
  <si>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</si>
  <si>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</si>
  <si>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</si>
  <si>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</si>
  <si>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</si>
  <si>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</si>
  <si>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</si>
  <si>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</si>
  <si>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</si>
  <si>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</si>
  <si>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</si>
  <si>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</si>
  <si>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</si>
  <si>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</si>
  <si>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</si>
  <si>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</si>
  <si>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</si>
  <si>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</si>
  <si>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</si>
  <si>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</si>
  <si>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</si>
  <si>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</si>
  <si>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</si>
  <si>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</si>
  <si>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</si>
  <si>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</si>
  <si>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</si>
  <si>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</si>
  <si>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</si>
  <si>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</si>
  <si>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</si>
  <si>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</si>
  <si>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</si>
  <si>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</si>
  <si>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</si>
  <si>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</si>
  <si>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</si>
  <si>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</si>
  <si>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</si>
  <si>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</si>
  <si>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</si>
  <si>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</si>
  <si>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</si>
  <si>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</si>
  <si>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</si>
  <si>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</si>
  <si>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</si>
  <si>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</si>
  <si>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</si>
  <si>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</si>
  <si>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</si>
  <si>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</si>
  <si>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</si>
  <si>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</si>
  <si>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</si>
  <si>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</si>
  <si>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</si>
  <si>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</si>
  <si>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</si>
  <si>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</si>
  <si>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</si>
  <si>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</si>
  <si>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</si>
  <si>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</si>
  <si>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</si>
  <si>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</si>
  <si>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</si>
  <si>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</si>
  <si>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</si>
  <si>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</si>
  <si>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</si>
  <si>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</si>
  <si>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</si>
  <si>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</si>
  <si>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</si>
  <si>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</si>
  <si>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</si>
  <si>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</si>
  <si>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</si>
  <si>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</si>
  <si>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</si>
  <si>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</si>
  <si>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</si>
  <si>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</si>
  <si>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</si>
  <si>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</si>
  <si>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</si>
  <si>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</si>
  <si>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</si>
  <si>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</si>
  <si>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</si>
  <si>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</si>
  <si>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</si>
  <si>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</si>
  <si>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</si>
  <si>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</si>
  <si>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</si>
  <si>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</si>
  <si>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</si>
  <si>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</si>
  <si>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</si>
  <si>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</si>
  <si>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</si>
  <si>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</si>
  <si>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</si>
  <si>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</si>
  <si>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</si>
  <si>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</si>
  <si>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</si>
  <si>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</si>
  <si>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</si>
  <si>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</si>
  <si>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</si>
  <si>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</si>
  <si>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</si>
  <si>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</si>
  <si>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</si>
  <si>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</si>
  <si>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</si>
  <si>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</si>
  <si>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</si>
  <si>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</si>
  <si>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</si>
  <si>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</si>
  <si>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</si>
  <si>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</si>
  <si>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</si>
  <si>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</si>
  <si>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</si>
  <si>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</si>
  <si>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</si>
  <si>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</si>
  <si>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</si>
  <si>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</si>
  <si>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</si>
  <si>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</si>
  <si>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</si>
  <si>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</si>
  <si>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</si>
  <si>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</si>
  <si>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</si>
  <si>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</si>
  <si>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</si>
  <si>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</si>
  <si>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</si>
  <si>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</si>
  <si>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</si>
  <si>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</si>
  <si>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</si>
  <si>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</si>
  <si>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</si>
  <si>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</si>
  <si>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</si>
  <si>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</si>
  <si>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</si>
  <si>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</si>
  <si>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</si>
  <si>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</si>
  <si>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</si>
  <si>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</si>
  <si>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</si>
  <si>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</si>
  <si>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</si>
  <si>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</si>
  <si>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</si>
  <si>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</si>
  <si>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</si>
  <si>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</si>
  <si>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</si>
  <si>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</si>
  <si>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</si>
  <si>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</si>
  <si>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</si>
  <si>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</si>
  <si>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</si>
  <si>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</si>
  <si>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</si>
  <si>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</si>
  <si>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</si>
  <si>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</si>
  <si>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</si>
  <si>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</si>
  <si>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</si>
  <si>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</si>
  <si>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</si>
  <si>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</si>
  <si>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</si>
  <si>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</si>
  <si>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</si>
  <si>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</si>
  <si>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</si>
  <si>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</si>
  <si>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</si>
  <si>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</si>
  <si>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</si>
  <si>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</si>
  <si>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</si>
  <si>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</si>
  <si>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</si>
  <si>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</si>
  <si>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</si>
  <si>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</si>
  <si>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</si>
  <si>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</si>
  <si>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</si>
  <si>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</si>
  <si>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</si>
  <si>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</si>
  <si>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</si>
  <si>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</si>
  <si>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</si>
  <si>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</si>
  <si>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</si>
  <si>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</si>
  <si>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</si>
  <si>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</si>
  <si>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</si>
  <si>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</si>
  <si>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</si>
  <si>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</si>
  <si>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</si>
  <si>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</si>
  <si>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</si>
  <si>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</si>
  <si>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</si>
  <si>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</si>
  <si>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</si>
  <si>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</si>
  <si>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</si>
  <si>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</si>
  <si>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</si>
  <si>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</si>
  <si>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</si>
  <si>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</si>
  <si>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</si>
  <si>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</si>
  <si>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</si>
  <si>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</si>
  <si>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</si>
  <si>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</si>
  <si>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</si>
  <si>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</si>
  <si>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</si>
  <si>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</si>
  <si>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</si>
  <si>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</si>
  <si>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</si>
  <si>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</si>
  <si>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</si>
  <si>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</si>
  <si>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</si>
  <si>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</si>
  <si>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</si>
  <si>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</si>
  <si>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</si>
  <si>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</si>
  <si>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</si>
  <si>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</si>
  <si>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</si>
  <si>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</si>
  <si>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</si>
  <si>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</si>
  <si>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</si>
  <si>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</si>
  <si>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</si>
  <si>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</si>
  <si>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</si>
  <si>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</si>
  <si>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</si>
  <si>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</si>
  <si>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</si>
  <si>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</si>
  <si>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</si>
  <si>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</si>
  <si>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</si>
  <si>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</si>
  <si>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</si>
  <si>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</si>
  <si>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</si>
  <si>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</si>
  <si>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</si>
  <si>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</si>
  <si>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</si>
  <si>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</si>
  <si>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</si>
  <si>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</si>
  <si>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</si>
  <si>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</si>
  <si>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</si>
  <si>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</si>
  <si>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</si>
  <si>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</si>
  <si>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</si>
  <si>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</si>
  <si>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</si>
  <si>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</si>
  <si>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</si>
  <si>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</si>
  <si>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</si>
  <si>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</si>
  <si>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</si>
  <si>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</si>
  <si>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</si>
  <si>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</si>
  <si>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</si>
  <si>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</si>
  <si>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</si>
  <si>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</si>
  <si>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</si>
  <si>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</si>
  <si>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</si>
  <si>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</si>
  <si>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</si>
  <si>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</si>
  <si>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</si>
  <si>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</si>
  <si>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</si>
  <si>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</si>
  <si>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</si>
  <si>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</si>
  <si>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</si>
  <si>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</si>
  <si>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</si>
  <si>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</si>
  <si>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</si>
  <si>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</si>
  <si>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</si>
  <si>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</si>
  <si>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</si>
  <si>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</si>
  <si>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</si>
  <si>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</si>
  <si>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</si>
  <si>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</si>
  <si>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</si>
  <si>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</si>
  <si>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</si>
  <si>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</si>
  <si>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</si>
  <si>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</si>
  <si>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</si>
  <si>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</si>
  <si>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</si>
  <si>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</si>
  <si>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</si>
  <si>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</si>
  <si>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</si>
  <si>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</si>
  <si>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</si>
  <si>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</si>
  <si>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</si>
  <si>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</si>
  <si>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</si>
  <si>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</si>
  <si>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</si>
  <si>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</si>
  <si>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</si>
  <si>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</si>
  <si>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</si>
  <si>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</si>
  <si>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</si>
  <si>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</si>
  <si>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</si>
  <si>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</si>
  <si>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</si>
  <si>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</si>
  <si>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</si>
  <si>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</si>
  <si>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</si>
  <si>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</si>
  <si>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</si>
  <si>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</si>
  <si>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</si>
  <si>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</si>
  <si>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</si>
  <si>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</si>
  <si>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</si>
  <si>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</si>
  <si>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</si>
  <si>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</si>
  <si>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</si>
  <si>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</si>
  <si>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</si>
  <si>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</si>
  <si>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</si>
  <si>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</si>
  <si>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</si>
  <si>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</si>
  <si>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</si>
  <si>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</si>
  <si>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</si>
  <si>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</si>
  <si>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</si>
  <si>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</si>
  <si>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</si>
  <si>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</si>
  <si>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</si>
  <si>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</si>
  <si>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</si>
  <si>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</si>
  <si>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</si>
  <si>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</si>
  <si>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</si>
  <si>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</si>
  <si>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</si>
  <si>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</si>
  <si>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</si>
  <si>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</si>
  <si>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</si>
  <si>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</si>
  <si>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</si>
  <si>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</si>
  <si>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</si>
  <si>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</si>
  <si>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</si>
  <si>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</si>
  <si>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</si>
  <si>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</si>
  <si>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</si>
  <si>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</si>
  <si>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</si>
  <si>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</si>
  <si>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</si>
  <si>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</si>
  <si>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</si>
  <si>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</si>
  <si>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</si>
  <si>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</si>
  <si>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</si>
  <si>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</si>
  <si>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</si>
  <si>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</si>
  <si>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</si>
  <si>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</si>
  <si>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</si>
  <si>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</si>
  <si>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</si>
  <si>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</si>
  <si>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</si>
  <si>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</si>
  <si>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</si>
  <si>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</si>
  <si>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</si>
  <si>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</si>
  <si>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</si>
  <si>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</si>
  <si>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</si>
  <si>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</si>
  <si>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</si>
  <si>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</si>
  <si>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</si>
  <si>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</si>
  <si>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</si>
  <si>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</si>
  <si>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</si>
  <si>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</si>
  <si>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</si>
  <si>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</si>
  <si>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</si>
  <si>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</si>
  <si>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</si>
  <si>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</si>
  <si>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</si>
  <si>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</si>
  <si>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</si>
  <si>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</si>
  <si>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</si>
  <si>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</si>
  <si>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</si>
  <si>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</si>
  <si>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</si>
  <si>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</si>
  <si>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</si>
  <si>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</si>
  <si>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</si>
  <si>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</si>
  <si>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</si>
  <si>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</si>
  <si>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</si>
  <si>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</si>
  <si>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</si>
  <si>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</si>
  <si>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</si>
  <si>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</si>
  <si>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</si>
  <si>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</si>
  <si>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</si>
  <si>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</si>
  <si>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</si>
  <si>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</si>
  <si>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</si>
  <si>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</si>
  <si>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</si>
  <si>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</si>
  <si>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</si>
  <si>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</si>
  <si>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</si>
  <si>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</si>
  <si>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</si>
  <si>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</si>
  <si>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</si>
  <si>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</si>
  <si>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</si>
  <si>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</si>
  <si>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</si>
  <si>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</si>
  <si>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</si>
  <si>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</si>
  <si>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</si>
  <si>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</si>
  <si>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</si>
  <si>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</si>
  <si>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</si>
  <si>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</si>
  <si>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</si>
  <si>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</si>
  <si>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</si>
  <si>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</si>
  <si>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</si>
  <si>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</si>
  <si>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</si>
  <si>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</si>
  <si>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</si>
  <si>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</si>
  <si>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</si>
  <si>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</si>
  <si>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</si>
  <si>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</si>
  <si>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</si>
  <si>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</si>
  <si>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</si>
  <si>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</si>
  <si>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</si>
  <si>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</si>
  <si>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</si>
  <si>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</si>
  <si>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</si>
  <si>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</si>
  <si>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</si>
  <si>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</si>
  <si>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</si>
  <si>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</si>
  <si>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</si>
  <si>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</si>
  <si>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</si>
  <si>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</si>
  <si>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</si>
  <si>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</si>
  <si>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</si>
  <si>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</si>
  <si>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</si>
  <si>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</si>
  <si>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</si>
  <si>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</si>
  <si>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</si>
  <si>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</si>
  <si>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</si>
  <si>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</si>
  <si>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</si>
  <si>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</si>
  <si>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</si>
  <si>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</si>
  <si>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</si>
  <si>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</si>
  <si>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</si>
  <si>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</si>
  <si>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</si>
  <si>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</si>
  <si>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</si>
  <si>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</si>
  <si>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</si>
  <si>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</si>
  <si>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</si>
  <si>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</si>
  <si>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</si>
  <si>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</si>
  <si>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</si>
  <si>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</si>
  <si>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</si>
  <si>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</si>
  <si>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</si>
  <si>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</si>
  <si>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</si>
  <si>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</si>
  <si>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</si>
  <si>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</si>
  <si>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</si>
  <si>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</si>
  <si>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</si>
  <si>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</si>
  <si>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</si>
  <si>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</si>
  <si>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</si>
  <si>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</si>
  <si>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</si>
  <si>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</si>
  <si>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</si>
  <si>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</si>
  <si>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</si>
  <si>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</si>
  <si>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</si>
  <si>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</si>
  <si>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</si>
  <si>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</si>
  <si>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</si>
  <si>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</si>
  <si>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</si>
  <si>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</si>
  <si>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</si>
  <si>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</si>
  <si>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</si>
  <si>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</si>
  <si>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</si>
  <si>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</si>
  <si>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</si>
  <si>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</si>
  <si>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</si>
  <si>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</si>
  <si>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</si>
  <si>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</si>
  <si>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</si>
  <si>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</si>
  <si>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</si>
  <si>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</si>
  <si>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</si>
  <si>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</si>
  <si>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</si>
  <si>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</si>
  <si>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</si>
  <si>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</si>
  <si>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</si>
  <si>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</si>
  <si>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</si>
  <si>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</si>
  <si>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</si>
  <si>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</si>
  <si>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</si>
  <si>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</si>
  <si>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</si>
  <si>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</si>
  <si>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</si>
  <si>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</si>
  <si>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</si>
  <si>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</si>
  <si>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</si>
  <si>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</si>
  <si>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</si>
  <si>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</si>
  <si>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</si>
  <si>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</si>
  <si>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</si>
  <si>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</si>
  <si>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</si>
  <si>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</si>
  <si>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</si>
  <si>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</si>
  <si>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</si>
  <si>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</si>
  <si>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</si>
  <si>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</si>
  <si>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</si>
  <si>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</si>
  <si>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</si>
  <si>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</si>
  <si>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</si>
  <si>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</si>
  <si>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</si>
  <si>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</si>
  <si>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</si>
  <si>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</si>
  <si>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</si>
  <si>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</si>
  <si>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</si>
  <si>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</si>
  <si>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</si>
  <si>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</si>
  <si>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</si>
  <si>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</si>
  <si>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</si>
  <si>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</si>
  <si>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</si>
  <si>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</si>
  <si>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</si>
  <si>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</si>
  <si>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</si>
  <si>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</si>
  <si>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</si>
  <si>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</si>
  <si>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</si>
  <si>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</si>
  <si>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</si>
  <si>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</si>
  <si>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</si>
  <si>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</si>
  <si>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</si>
  <si>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</si>
  <si>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</si>
  <si>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</si>
  <si>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</si>
  <si>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</si>
  <si>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</si>
  <si>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</si>
  <si>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</si>
  <si>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</si>
  <si>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</si>
  <si>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</si>
  <si>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</si>
  <si>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</si>
  <si>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</si>
  <si>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</si>
  <si>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</si>
  <si>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</si>
  <si>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</si>
  <si>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</si>
  <si>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</si>
  <si>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</si>
  <si>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</si>
  <si>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</si>
  <si>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</si>
  <si>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</si>
  <si>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</si>
  <si>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</si>
  <si>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</si>
  <si>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</si>
  <si>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</si>
  <si>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</si>
  <si>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</si>
  <si>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</si>
  <si>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</si>
  <si>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</si>
  <si>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</si>
  <si>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</si>
  <si>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</si>
  <si>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</si>
  <si>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</si>
  <si>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</si>
  <si>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</si>
  <si>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</si>
  <si>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</si>
  <si>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</si>
  <si>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</si>
  <si>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</si>
  <si>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</si>
  <si>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</si>
  <si>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</si>
  <si>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</si>
  <si>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</si>
  <si>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</si>
  <si>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</si>
  <si>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</si>
  <si>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</si>
  <si>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</si>
  <si>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</si>
  <si>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</si>
  <si>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</si>
  <si>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</si>
  <si>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</si>
  <si>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</si>
  <si>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</si>
  <si>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</si>
  <si>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</si>
  <si>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</si>
  <si>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</si>
  <si>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</si>
  <si>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</si>
  <si>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</si>
  <si>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</si>
  <si>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</si>
  <si>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</si>
  <si>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</si>
  <si>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</si>
  <si>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</si>
  <si>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</si>
  <si>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</si>
  <si>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</si>
  <si>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</si>
  <si>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</si>
  <si>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</si>
  <si>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</si>
  <si>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</si>
  <si>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</si>
  <si>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</si>
  <si>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</si>
  <si>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</si>
  <si>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</si>
  <si>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</si>
  <si>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</si>
  <si>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</si>
  <si>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</si>
  <si>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</si>
  <si>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</si>
  <si>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</si>
  <si>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</si>
  <si>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</si>
  <si>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</si>
  <si>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</si>
  <si>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</si>
  <si>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</si>
  <si>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</si>
  <si>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</si>
  <si>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</si>
  <si>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</si>
  <si>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</si>
  <si>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</si>
  <si>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</si>
  <si>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</si>
  <si>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</si>
  <si>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</si>
  <si>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</si>
  <si>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</si>
  <si>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</si>
  <si>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</si>
  <si>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</si>
  <si>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</si>
  <si>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</si>
  <si>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</si>
  <si>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</si>
  <si>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</si>
  <si>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</si>
  <si>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</si>
  <si>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</si>
  <si>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</si>
  <si>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</si>
  <si>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</si>
  <si>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</si>
  <si>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</si>
  <si>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</si>
  <si>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</si>
  <si>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</si>
  <si>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</si>
  <si>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</si>
  <si>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</si>
  <si>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</si>
  <si>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</si>
  <si>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</si>
  <si>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</si>
  <si>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</si>
  <si>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</si>
  <si>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</si>
  <si>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</si>
  <si>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</si>
  <si>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</si>
  <si>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</si>
  <si>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</si>
  <si>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</si>
  <si>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</si>
  <si>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</si>
  <si>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</si>
  <si>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</si>
  <si>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</si>
  <si>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</si>
  <si>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</si>
  <si>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</si>
  <si>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</si>
  <si>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</si>
  <si>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</si>
  <si>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</si>
  <si>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</si>
  <si>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</si>
  <si>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</si>
  <si>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</si>
  <si>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</si>
  <si>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</si>
  <si>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</si>
  <si>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</si>
  <si>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</si>
  <si>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</si>
  <si>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</si>
  <si>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</si>
  <si>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</si>
  <si>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</si>
  <si>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</si>
  <si>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</si>
  <si>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</si>
  <si>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</si>
  <si>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</si>
  <si>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</si>
  <si>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</si>
  <si>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</si>
  <si>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</si>
  <si>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</si>
  <si>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</si>
  <si>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</si>
  <si>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</si>
  <si>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</si>
  <si>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</si>
  <si>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</si>
  <si>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</si>
  <si>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</si>
  <si>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</si>
  <si>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</si>
  <si>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</si>
  <si>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</si>
  <si>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</si>
  <si>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</si>
  <si>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</si>
  <si>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</si>
  <si>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</si>
  <si>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</si>
  <si>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</si>
  <si>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</si>
  <si>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</si>
  <si>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</si>
  <si>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</si>
  <si>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</si>
  <si>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</si>
  <si>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</si>
  <si>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</si>
  <si>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</si>
  <si>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</si>
  <si>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</si>
  <si>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</si>
  <si>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</si>
  <si>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</si>
  <si>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</si>
  <si>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</si>
  <si>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</si>
  <si>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</si>
  <si>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</si>
  <si>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</si>
  <si>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</si>
  <si>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</si>
  <si>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</si>
  <si>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</si>
  <si>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</si>
  <si>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</si>
  <si>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</si>
  <si>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</si>
  <si>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</si>
  <si>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</si>
  <si>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</si>
  <si>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</si>
  <si>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</si>
  <si>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</si>
  <si>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</si>
  <si>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</si>
  <si>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</si>
  <si>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</si>
  <si>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</si>
  <si>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</si>
  <si>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</si>
  <si>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</si>
  <si>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</si>
  <si>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</si>
  <si>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</si>
  <si>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</si>
  <si>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</si>
  <si>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</si>
  <si>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</si>
  <si>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</si>
  <si>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</si>
  <si>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</si>
  <si>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</si>
  <si>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</si>
  <si>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</si>
  <si>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</si>
  <si>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</si>
  <si>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</si>
  <si>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</si>
  <si>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</si>
  <si>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</si>
  <si>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</si>
  <si>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</si>
  <si>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</si>
  <si>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</si>
  <si>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</si>
  <si>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</si>
  <si>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</si>
  <si>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</si>
  <si>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</si>
  <si>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</si>
  <si>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</si>
  <si>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</si>
  <si>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</si>
  <si>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</si>
  <si>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</si>
  <si>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</si>
  <si>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</si>
  <si>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</si>
  <si>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</si>
  <si>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</si>
  <si>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</si>
  <si>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</si>
  <si>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</si>
  <si>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</si>
  <si>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</si>
  <si>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</si>
  <si>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</si>
  <si>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</si>
  <si>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</si>
  <si>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</si>
  <si>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</si>
  <si>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</si>
  <si>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</si>
  <si>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</si>
  <si>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</si>
  <si>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</si>
  <si>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</si>
  <si>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</si>
  <si>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</si>
  <si>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</si>
  <si>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</si>
  <si>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</si>
  <si>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</si>
  <si>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</si>
  <si>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</si>
  <si>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</si>
  <si>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</si>
  <si>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</si>
  <si>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</si>
  <si>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</si>
  <si>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</si>
  <si>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</si>
  <si>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</si>
  <si>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</si>
  <si>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</si>
  <si>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</si>
  <si>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</si>
  <si>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</si>
  <si>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</si>
  <si>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</si>
  <si>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</si>
  <si>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</si>
  <si>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</si>
  <si>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</si>
  <si>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</si>
  <si>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</si>
  <si>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</si>
  <si>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</si>
  <si>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</si>
  <si>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</si>
  <si>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</si>
  <si>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</si>
  <si>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</si>
  <si>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</si>
  <si>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</si>
  <si>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</si>
  <si>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</si>
  <si>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</si>
  <si>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</si>
  <si>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</si>
  <si>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</si>
  <si>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</si>
  <si>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</si>
  <si>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</si>
  <si>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</si>
  <si>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</si>
  <si>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</si>
  <si>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</si>
  <si>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</si>
  <si>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</si>
  <si>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</si>
  <si>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</si>
  <si>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</si>
  <si>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</si>
  <si>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</si>
  <si>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</si>
  <si>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</si>
  <si>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</si>
  <si>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</si>
  <si>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</si>
  <si>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</si>
  <si>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</si>
  <si>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</si>
  <si>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</si>
  <si>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</si>
  <si>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</si>
  <si>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</si>
  <si>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</si>
  <si>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</si>
  <si>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</si>
  <si>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</si>
  <si>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</si>
  <si>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</si>
  <si>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</si>
  <si>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</si>
  <si>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</si>
  <si>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</si>
  <si>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</si>
  <si>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</si>
  <si>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</si>
  <si>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</si>
  <si>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</si>
  <si>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</si>
  <si>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</si>
  <si>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</si>
  <si>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</si>
  <si>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</si>
  <si>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</si>
  <si>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</si>
  <si>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</si>
  <si>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</si>
  <si>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</si>
  <si>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</si>
  <si>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</si>
  <si>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</si>
  <si>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</si>
  <si>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</si>
  <si>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</si>
  <si>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</si>
  <si>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</si>
  <si>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</si>
  <si>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</si>
  <si>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</si>
  <si>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</si>
  <si>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</si>
  <si>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</si>
  <si>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</si>
  <si>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</si>
  <si>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</si>
  <si>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</si>
  <si>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</si>
  <si>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</si>
  <si>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</si>
  <si>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</si>
  <si>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</si>
  <si>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</si>
  <si>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</si>
  <si>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</si>
  <si>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</si>
  <si>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</si>
  <si>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</si>
  <si>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</si>
  <si>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</si>
  <si>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</si>
  <si>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</si>
  <si>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</si>
  <si>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</si>
  <si>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</si>
  <si>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</si>
  <si>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</si>
  <si>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</si>
  <si>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</si>
  <si>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</si>
  <si>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</si>
  <si>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</si>
  <si>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</si>
  <si>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</si>
  <si>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</si>
  <si>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</si>
  <si>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</si>
  <si>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</si>
  <si>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</si>
  <si>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</si>
  <si>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</si>
  <si>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</si>
  <si>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</si>
  <si>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</si>
  <si>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</si>
  <si>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</si>
  <si>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</si>
  <si>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</si>
  <si>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</si>
  <si>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</si>
  <si>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</si>
  <si>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</si>
  <si>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</si>
  <si>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</si>
  <si>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</si>
  <si>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</si>
  <si>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</si>
  <si>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</si>
  <si>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</si>
  <si>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</si>
  <si>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</si>
  <si>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</si>
  <si>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</si>
  <si>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</si>
  <si>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</si>
  <si>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</si>
  <si>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</si>
  <si>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</si>
  <si>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</si>
  <si>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</si>
  <si>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</si>
  <si>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</si>
  <si>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</si>
  <si>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</si>
  <si>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</si>
  <si>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</si>
  <si>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</si>
  <si>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</si>
  <si>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</si>
  <si>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</si>
  <si>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</si>
  <si>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</si>
  <si>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</si>
  <si>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</si>
  <si>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</si>
  <si>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</si>
  <si>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</si>
  <si>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</si>
  <si>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</si>
  <si>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</si>
  <si>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</si>
  <si>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</si>
  <si>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</si>
  <si>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</si>
  <si>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</si>
  <si>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</si>
  <si>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</si>
  <si>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</si>
  <si>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</si>
  <si>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</si>
  <si>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</si>
  <si>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</si>
  <si>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</si>
  <si>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</si>
  <si>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</si>
  <si>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</si>
  <si>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</si>
  <si>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</si>
  <si>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</si>
  <si>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</si>
  <si>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</si>
  <si>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</si>
  <si>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</si>
  <si>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</si>
  <si>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</si>
  <si>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</si>
  <si>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</si>
  <si>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</si>
  <si>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</si>
  <si>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</si>
  <si>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</si>
  <si>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</si>
  <si>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</si>
  <si>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</si>
  <si>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</si>
  <si>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</si>
  <si>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</si>
  <si>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</si>
  <si>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</si>
  <si>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</si>
  <si>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</si>
  <si>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</si>
  <si>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</si>
  <si>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</si>
  <si>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</si>
  <si>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</si>
  <si>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</si>
  <si>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</si>
  <si>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</si>
  <si>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</si>
  <si>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</si>
  <si>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</si>
  <si>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</si>
  <si>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</si>
  <si>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</si>
  <si>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</si>
  <si>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</si>
  <si>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</si>
  <si>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</si>
  <si>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</si>
  <si>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</si>
  <si>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</si>
  <si>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</si>
  <si>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</si>
  <si>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</si>
  <si>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</si>
  <si>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</si>
  <si>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</si>
  <si>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</si>
  <si>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</si>
  <si>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</si>
  <si>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</si>
  <si>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</si>
  <si>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</si>
  <si>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</si>
  <si>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</si>
  <si>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</si>
  <si>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</si>
  <si>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</si>
  <si>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</si>
  <si>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</si>
  <si>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</si>
  <si>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</si>
  <si>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</si>
  <si>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</si>
  <si>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</si>
  <si>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</si>
  <si>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</si>
  <si>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</si>
  <si>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</si>
  <si>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</si>
  <si>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</si>
  <si>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</si>
  <si>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</si>
  <si>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</si>
  <si>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</si>
  <si>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</si>
  <si>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</si>
  <si>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</si>
  <si>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</si>
  <si>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</si>
  <si>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</si>
  <si>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</si>
  <si>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</si>
  <si>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</si>
  <si>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</si>
  <si>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</si>
  <si>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</si>
  <si>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</si>
  <si>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</si>
  <si>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</si>
  <si>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</si>
  <si>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</si>
  <si>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</si>
  <si>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</si>
  <si>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</si>
  <si>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</si>
  <si>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</si>
  <si>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</si>
  <si>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</si>
  <si>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</si>
  <si>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</si>
  <si>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</si>
  <si>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</si>
  <si>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</si>
  <si>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</si>
  <si>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</si>
  <si>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</si>
  <si>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</si>
  <si>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</si>
  <si>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</si>
  <si>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</si>
  <si>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</si>
  <si>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</si>
  <si>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</si>
  <si>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</si>
  <si>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</si>
  <si>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</si>
  <si>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</si>
  <si>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</si>
  <si>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</si>
  <si>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</si>
  <si>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</si>
  <si>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</si>
  <si>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</si>
  <si>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</si>
  <si>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</si>
  <si>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</si>
  <si>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</si>
  <si>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</si>
  <si>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</si>
  <si>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</si>
  <si>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</si>
  <si>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</si>
  <si>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</si>
  <si>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</si>
  <si>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</si>
  <si>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</si>
  <si>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</si>
  <si>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</si>
  <si>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</si>
  <si>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</si>
  <si>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</si>
  <si>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</si>
  <si>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</si>
  <si>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</si>
  <si>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</si>
  <si>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</si>
  <si>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</si>
  <si>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</si>
  <si>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</si>
  <si>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</si>
  <si>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</si>
  <si>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</si>
  <si>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</si>
  <si>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</si>
  <si>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</si>
  <si>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</si>
  <si>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</si>
  <si>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</si>
  <si>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</si>
  <si>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</si>
  <si>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</si>
  <si>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</si>
  <si>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</si>
  <si>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</si>
  <si>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</si>
  <si>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</si>
  <si>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</si>
  <si>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</si>
  <si>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</si>
  <si>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</si>
  <si>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</si>
  <si>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</si>
  <si>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</si>
  <si>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</si>
  <si>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</si>
  <si>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</si>
  <si>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</si>
  <si>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</si>
  <si>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</si>
  <si>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</si>
  <si>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</si>
  <si>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</si>
  <si>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</si>
  <si>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</si>
  <si>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</si>
  <si>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</si>
  <si>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</si>
  <si>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</si>
  <si>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</si>
  <si>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</si>
  <si>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</si>
  <si>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</si>
  <si>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</si>
  <si>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</si>
  <si>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</si>
  <si>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</si>
  <si>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</si>
  <si>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</si>
  <si>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</si>
  <si>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</si>
  <si>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</si>
  <si>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</si>
  <si>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</si>
  <si>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</si>
  <si>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</si>
  <si>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</si>
  <si>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</si>
  <si>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</si>
  <si>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</si>
  <si>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</si>
  <si>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</si>
  <si>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</si>
  <si>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</si>
  <si>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</si>
  <si>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</si>
  <si>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</si>
  <si>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</si>
  <si>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</si>
  <si>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</si>
  <si>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</si>
  <si>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</si>
  <si>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</si>
  <si>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</si>
  <si>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</si>
  <si>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</si>
  <si>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</si>
  <si>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</si>
  <si>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</si>
  <si>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</si>
  <si>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</si>
  <si>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</si>
  <si>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</si>
  <si>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</si>
  <si>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</si>
  <si>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</si>
  <si>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</si>
  <si>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</si>
  <si>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</si>
  <si>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</si>
  <si>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</si>
  <si>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</si>
  <si>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</si>
  <si>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</si>
  <si>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</si>
  <si>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</si>
  <si>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</si>
  <si>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</si>
  <si>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</si>
  <si>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</si>
  <si>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</si>
  <si>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</si>
  <si>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</si>
  <si>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</si>
  <si>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</si>
  <si>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</si>
  <si>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</si>
  <si>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</si>
  <si>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</si>
  <si>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</si>
  <si>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</si>
  <si>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</si>
  <si>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</si>
  <si>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</si>
  <si>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</si>
  <si>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</si>
  <si>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</si>
  <si>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</si>
  <si>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</si>
  <si>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</si>
  <si>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</si>
  <si>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</si>
  <si>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</si>
  <si>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</si>
  <si>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</si>
  <si>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</si>
  <si>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</si>
  <si>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</si>
  <si>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</si>
  <si>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</si>
  <si>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</si>
  <si>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</si>
  <si>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</si>
  <si>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</si>
  <si>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</si>
  <si>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</si>
  <si>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</si>
  <si>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</si>
  <si>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</si>
  <si>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</si>
  <si>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</si>
  <si>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</si>
  <si>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</si>
  <si>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</si>
  <si>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</si>
  <si>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</si>
  <si>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</si>
  <si>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</si>
  <si>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</si>
  <si>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</si>
  <si>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</si>
  <si>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</si>
  <si>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</si>
  <si>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</si>
  <si>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</si>
  <si>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</si>
  <si>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</si>
  <si>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</si>
  <si>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</si>
  <si>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</si>
  <si>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</si>
  <si>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</si>
  <si>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</si>
  <si>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</si>
  <si>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</si>
  <si>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</si>
  <si>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</si>
  <si>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</si>
  <si>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</si>
  <si>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</si>
  <si>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</si>
  <si>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</si>
  <si>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</si>
  <si>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</si>
  <si>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</si>
  <si>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</si>
  <si>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</si>
  <si>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</si>
  <si>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</si>
  <si>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</si>
  <si>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</si>
  <si>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</si>
  <si>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</si>
  <si>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</si>
  <si>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</si>
  <si>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</si>
  <si>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</si>
  <si>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</si>
  <si>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</si>
  <si>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</si>
  <si>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</si>
  <si>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</si>
  <si>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</si>
  <si>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</si>
  <si>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</si>
  <si>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</si>
  <si>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</si>
  <si>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</si>
  <si>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</si>
  <si>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</si>
  <si>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</si>
  <si>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</si>
  <si>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</si>
  <si>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</si>
  <si>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</si>
  <si>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</si>
  <si>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</si>
  <si>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</si>
  <si>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</si>
  <si>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</si>
  <si>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</si>
  <si>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</si>
  <si>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</si>
  <si>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</si>
  <si>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</si>
  <si>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</si>
  <si>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</si>
  <si>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</si>
  <si>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</si>
  <si>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</si>
  <si>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</si>
  <si>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</si>
  <si>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</si>
  <si>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</si>
  <si>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</si>
  <si>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</si>
  <si>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</si>
  <si>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</si>
  <si>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</si>
  <si>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</si>
  <si>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</si>
  <si>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</si>
  <si>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</si>
  <si>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</si>
  <si>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</si>
  <si>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</si>
  <si>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</si>
  <si>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</si>
  <si>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</si>
  <si>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</si>
  <si>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</si>
  <si>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</si>
  <si>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</si>
  <si>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</si>
  <si>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</si>
  <si>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</si>
  <si>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</si>
  <si>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</si>
  <si>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</si>
  <si>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</si>
  <si>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</si>
  <si>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</si>
  <si>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</si>
  <si>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</si>
  <si>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</si>
  <si>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</si>
  <si>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</si>
  <si>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</si>
  <si>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</si>
  <si>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</si>
  <si>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</si>
  <si>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</si>
  <si>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</si>
  <si>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</si>
  <si>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</si>
  <si>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</si>
  <si>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</si>
  <si>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</si>
  <si>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</si>
  <si>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</si>
  <si>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</si>
  <si>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</si>
  <si>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</si>
  <si>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</si>
  <si>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</si>
  <si>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</si>
  <si>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</si>
  <si>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</si>
  <si>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</si>
  <si>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</si>
  <si>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</si>
  <si>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</si>
  <si>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</si>
  <si>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</si>
  <si>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</si>
  <si>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</si>
  <si>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</si>
  <si>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</si>
  <si>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</si>
  <si>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</si>
  <si>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</si>
  <si>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</si>
  <si>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</si>
  <si>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</si>
  <si>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</si>
  <si>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</si>
  <si>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</si>
  <si>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</si>
  <si>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</si>
  <si>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</si>
  <si>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</si>
  <si>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</si>
  <si>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</si>
  <si>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</si>
  <si>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</si>
  <si>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</si>
  <si>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</si>
  <si>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</si>
  <si>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</si>
  <si>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</si>
  <si>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</si>
  <si>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</si>
  <si>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</si>
  <si>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</si>
  <si>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</si>
  <si>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</si>
  <si>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</si>
  <si>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</si>
  <si>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</si>
  <si>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</si>
  <si>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</si>
  <si>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</si>
  <si>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</si>
  <si>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</si>
  <si>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</si>
  <si>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</si>
  <si>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</si>
  <si>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</si>
  <si>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</si>
  <si>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</si>
  <si>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</si>
  <si>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</si>
  <si>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</si>
  <si>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</si>
  <si>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</si>
  <si>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</si>
  <si>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</si>
  <si>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</si>
  <si>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</si>
  <si>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</si>
  <si>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</si>
  <si>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</si>
  <si>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</si>
  <si>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</si>
  <si>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</si>
  <si>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</si>
  <si>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</si>
  <si>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</si>
  <si>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</si>
  <si>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</si>
  <si>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</si>
  <si>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</si>
  <si>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</si>
  <si>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</si>
  <si>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</si>
  <si>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</si>
  <si>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</si>
  <si>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</si>
  <si>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</si>
  <si>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</si>
  <si>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</si>
  <si>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</si>
  <si>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</si>
  <si>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</si>
  <si>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</si>
  <si>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</si>
  <si>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</si>
  <si>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</si>
  <si>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</si>
  <si>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</si>
  <si>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</si>
  <si>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</si>
  <si>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</si>
  <si>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</si>
  <si>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</si>
  <si>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</si>
  <si>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</si>
  <si>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</si>
  <si>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</si>
  <si>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</si>
  <si>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</si>
  <si>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</si>
  <si>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</si>
  <si>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</si>
  <si>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</si>
  <si>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</si>
  <si>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</si>
  <si>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</si>
  <si>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</si>
  <si>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</si>
  <si>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</si>
  <si>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</si>
  <si>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</si>
  <si>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</si>
  <si>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</si>
  <si>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</si>
  <si>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</si>
  <si>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</si>
  <si>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</si>
  <si>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</si>
  <si>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</si>
  <si>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</si>
  <si>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</si>
  <si>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</si>
  <si>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</si>
  <si>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</si>
  <si>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</si>
  <si>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</si>
  <si>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</si>
  <si>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</si>
  <si>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</si>
  <si>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</si>
  <si>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</si>
  <si>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</si>
  <si>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</si>
  <si>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</si>
  <si>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</si>
  <si>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</si>
  <si>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</si>
  <si>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</si>
  <si>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</si>
  <si>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</si>
  <si>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</si>
  <si>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</si>
  <si>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</si>
  <si>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</si>
  <si>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</si>
  <si>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</si>
  <si>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</si>
  <si>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</si>
  <si>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</si>
  <si>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</si>
  <si>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</si>
  <si>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</si>
  <si>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</si>
  <si>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</si>
  <si>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</si>
  <si>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</si>
  <si>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</si>
  <si>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</si>
  <si>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</si>
  <si>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</si>
  <si>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</si>
  <si>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</si>
  <si>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</si>
  <si>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</si>
  <si>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</si>
  <si>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</si>
  <si>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</si>
  <si>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</si>
  <si>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</si>
  <si>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</si>
  <si>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</si>
  <si>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</si>
  <si>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</si>
  <si>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</si>
  <si>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</si>
  <si>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</si>
  <si>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</si>
  <si>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</si>
  <si>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</si>
  <si>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</si>
  <si>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</si>
  <si>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</si>
  <si>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</si>
  <si>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</si>
  <si>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</si>
  <si>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</si>
  <si>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</si>
  <si>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</si>
  <si>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</si>
  <si>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</si>
  <si>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</si>
  <si>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</si>
  <si>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</si>
  <si>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</si>
  <si>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</si>
  <si>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</si>
  <si>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</si>
  <si>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</si>
  <si>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</si>
  <si>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</si>
  <si>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</si>
  <si>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</si>
  <si>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</si>
  <si>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</si>
  <si>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</si>
  <si>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</si>
  <si>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</si>
  <si>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</si>
  <si>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</si>
  <si>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</si>
  <si>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</si>
  <si>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</si>
  <si>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</si>
  <si>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</si>
  <si>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</si>
  <si>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</si>
  <si>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</si>
  <si>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</si>
  <si>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</si>
  <si>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</si>
  <si>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</si>
  <si>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</si>
  <si>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</si>
  <si>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</si>
  <si>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</si>
  <si>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</si>
  <si>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</si>
  <si>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</si>
  <si>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</si>
  <si>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</si>
  <si>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</si>
  <si>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</si>
  <si>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</si>
  <si>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</si>
  <si>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</si>
  <si>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</si>
  <si>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</si>
  <si>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</si>
  <si>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</si>
  <si>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</si>
  <si>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</si>
  <si>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</si>
  <si>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</si>
  <si>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</si>
  <si>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</si>
  <si>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</si>
  <si>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</si>
  <si>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</si>
  <si>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</si>
  <si>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</si>
  <si>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</si>
  <si>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</si>
  <si>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</si>
  <si>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</si>
  <si>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</si>
  <si>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</si>
  <si>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</si>
  <si>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</si>
  <si>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</si>
  <si>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</si>
  <si>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</si>
  <si>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</si>
  <si>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</si>
  <si>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</si>
  <si>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</si>
  <si>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</si>
  <si>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</si>
  <si>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</si>
  <si>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</si>
  <si>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</si>
  <si>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</si>
  <si>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</si>
  <si>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</si>
  <si>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</si>
  <si>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</si>
  <si>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</si>
  <si>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</si>
  <si>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</si>
  <si>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</si>
  <si>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</si>
  <si>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</si>
  <si>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</si>
  <si>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</si>
  <si>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</si>
  <si>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</si>
  <si>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</si>
  <si>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</si>
  <si>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</si>
  <si>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</si>
  <si>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</si>
  <si>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</si>
  <si>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</si>
  <si>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</si>
  <si>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</si>
  <si>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</si>
  <si>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</si>
  <si>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</si>
  <si>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</si>
  <si>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</si>
  <si>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</si>
  <si>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</si>
  <si>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</si>
  <si>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</si>
  <si>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</si>
  <si>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</si>
  <si>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</si>
  <si>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</si>
  <si>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</si>
  <si>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</si>
  <si>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</si>
  <si>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</si>
  <si>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</si>
  <si>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</si>
  <si>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</si>
  <si>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</si>
  <si>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</si>
  <si>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</si>
  <si>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</si>
  <si>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</si>
  <si>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</si>
  <si>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</si>
  <si>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</si>
  <si>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</si>
  <si>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</si>
  <si>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</si>
  <si>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</si>
  <si>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</si>
  <si>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</si>
  <si>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</si>
  <si>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</si>
  <si>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</si>
  <si>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</si>
  <si>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</si>
  <si>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</si>
  <si>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</si>
  <si>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</si>
  <si>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</si>
  <si>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</si>
  <si>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</si>
  <si>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</si>
  <si>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</si>
  <si>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</si>
  <si>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</si>
  <si>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</si>
  <si>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</si>
  <si>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</si>
  <si>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</si>
  <si>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</si>
  <si>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</si>
  <si>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</si>
  <si>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</si>
  <si>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</si>
  <si>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</si>
  <si>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</si>
  <si>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</si>
  <si>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</si>
  <si>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</si>
  <si>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</si>
  <si>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</si>
  <si>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</si>
  <si>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</si>
  <si>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</si>
  <si>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</si>
  <si>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</si>
  <si>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</si>
  <si>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</si>
  <si>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</si>
  <si>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</si>
  <si>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</si>
  <si>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</si>
  <si>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</si>
  <si>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</si>
  <si>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</si>
  <si>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</si>
  <si>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</si>
  <si>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</si>
  <si>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</si>
  <si>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</si>
  <si>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</si>
  <si>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</si>
  <si>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</si>
  <si>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</si>
  <si>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</si>
  <si>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</si>
  <si>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</si>
  <si>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</si>
  <si>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</si>
  <si>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</si>
  <si>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</si>
  <si>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</si>
  <si>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</si>
  <si>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</si>
  <si>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</si>
  <si>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</si>
  <si>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</si>
  <si>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</si>
  <si>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</si>
  <si>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</si>
  <si>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</si>
  <si>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</si>
  <si>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</si>
  <si>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</si>
  <si>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</si>
  <si>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</si>
  <si>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</si>
  <si>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</si>
  <si>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</si>
  <si>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</si>
  <si>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</si>
  <si>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</si>
  <si>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</si>
  <si>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</si>
  <si>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</si>
  <si>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</si>
  <si>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</si>
  <si>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</si>
  <si>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</si>
  <si>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</si>
  <si>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</si>
  <si>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</si>
  <si>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</si>
  <si>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</si>
  <si>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</si>
  <si>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</si>
  <si>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</si>
  <si>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</si>
  <si>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</si>
  <si>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</si>
  <si>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</si>
  <si>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</si>
  <si>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</si>
  <si>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</si>
  <si>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</si>
  <si>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</si>
  <si>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</si>
  <si>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</si>
  <si>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</si>
  <si>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</si>
  <si>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</si>
  <si>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</si>
  <si>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</si>
  <si>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</si>
  <si>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</si>
  <si>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</si>
  <si>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</si>
  <si>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</si>
  <si>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</si>
  <si>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</si>
  <si>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</si>
  <si>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</si>
  <si>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</si>
  <si>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</si>
  <si>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</si>
  <si>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</si>
  <si>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</si>
  <si>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</si>
  <si>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</si>
  <si>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</si>
  <si>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</si>
  <si>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</si>
  <si>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</si>
  <si>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</si>
  <si>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</si>
  <si>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</si>
  <si>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</si>
  <si>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</si>
  <si>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</si>
  <si>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</si>
  <si>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</si>
  <si>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</si>
  <si>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</si>
  <si>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</si>
  <si>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</si>
  <si>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</si>
  <si>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</si>
  <si>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</si>
  <si>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</si>
  <si>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</si>
  <si>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</si>
  <si>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</si>
  <si>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</si>
  <si>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</si>
  <si>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</si>
  <si>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</si>
  <si>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</si>
  <si>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</si>
  <si>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</si>
  <si>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</si>
  <si>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</si>
  <si>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</si>
  <si>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</si>
  <si>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</si>
  <si>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</si>
  <si>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</si>
  <si>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</si>
  <si>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</si>
  <si>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</si>
  <si>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</si>
  <si>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</si>
  <si>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</si>
  <si>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</si>
  <si>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</si>
  <si>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</si>
  <si>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</si>
  <si>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</si>
  <si>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</si>
  <si>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</si>
  <si>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</si>
  <si>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</si>
  <si>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</si>
  <si>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</si>
  <si>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</si>
  <si>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</si>
  <si>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</si>
  <si>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</si>
  <si>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</si>
  <si>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</si>
  <si>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</si>
  <si>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</si>
  <si>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</si>
  <si>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</si>
  <si>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</si>
  <si>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</si>
  <si>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</si>
  <si>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</si>
  <si>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</si>
  <si>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</si>
  <si>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</si>
  <si>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</si>
  <si>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</si>
  <si>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</si>
  <si>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</si>
  <si>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</si>
  <si>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</si>
  <si>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</si>
  <si>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</si>
  <si>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</si>
  <si>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</si>
  <si>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</si>
  <si>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</si>
  <si>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</si>
  <si>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</si>
  <si>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</si>
  <si>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</si>
  <si>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</si>
  <si>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</si>
  <si>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</si>
  <si>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</si>
  <si>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</si>
  <si>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</si>
  <si>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</si>
  <si>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</si>
  <si>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</si>
  <si>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</si>
  <si>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</si>
  <si>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</si>
  <si>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</si>
  <si>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</si>
  <si>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</si>
  <si>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</si>
  <si>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</si>
  <si>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</si>
  <si>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</si>
  <si>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</si>
  <si>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</si>
  <si>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</si>
  <si>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</si>
  <si>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</si>
  <si>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</si>
  <si>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</si>
  <si>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</si>
  <si>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</si>
  <si>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</si>
  <si>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</si>
  <si>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</si>
  <si>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</si>
  <si>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</si>
  <si>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</si>
  <si>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</si>
  <si>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</si>
  <si>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</si>
  <si>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</si>
  <si>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</si>
  <si>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</si>
  <si>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</si>
  <si>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</si>
  <si>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</si>
  <si>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</si>
  <si>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</si>
  <si>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</si>
  <si>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</si>
  <si>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</si>
  <si>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</si>
  <si>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</si>
  <si>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</si>
  <si>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</si>
  <si>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</si>
  <si>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</si>
  <si>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</si>
  <si>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</si>
  <si>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</si>
  <si>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</si>
  <si>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</si>
  <si>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</si>
  <si>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</si>
  <si>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</si>
  <si>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</si>
  <si>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</si>
  <si>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</si>
  <si>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</si>
  <si>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</si>
  <si>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</si>
  <si>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</si>
  <si>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</si>
  <si>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</si>
  <si>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</si>
  <si>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</si>
  <si>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</si>
  <si>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</si>
  <si>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</si>
  <si>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</si>
  <si>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</si>
  <si>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</si>
  <si>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</si>
  <si>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</si>
  <si>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</si>
  <si>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</si>
  <si>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</si>
  <si>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</si>
  <si>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</si>
  <si>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</si>
  <si>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</si>
  <si>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</si>
  <si>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</si>
  <si>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</si>
  <si>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</si>
  <si>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</si>
  <si>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</si>
  <si>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</si>
  <si>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</si>
  <si>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</si>
  <si>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</si>
  <si>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</si>
  <si>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</si>
  <si>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</si>
  <si>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</si>
  <si>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</si>
  <si>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</si>
  <si>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</si>
  <si>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</si>
  <si>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</si>
  <si>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</si>
  <si>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</si>
  <si>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</si>
  <si>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</si>
  <si>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</si>
  <si>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</si>
  <si>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</si>
  <si>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</si>
  <si>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</si>
  <si>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</si>
  <si>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</si>
  <si>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</si>
  <si>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</si>
  <si>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</si>
  <si>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</si>
  <si>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</si>
  <si>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</si>
  <si>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</si>
  <si>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</si>
  <si>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</si>
  <si>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</si>
  <si>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</si>
  <si>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</si>
  <si>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</si>
  <si>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</si>
  <si>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</si>
  <si>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</si>
  <si>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</si>
  <si>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</si>
  <si>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</si>
  <si>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</si>
  <si>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</si>
  <si>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</si>
  <si>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</si>
  <si>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</si>
  <si>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</si>
  <si>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</si>
  <si>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</si>
  <si>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</si>
  <si>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</si>
  <si>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</si>
  <si>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</si>
  <si>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</si>
  <si>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</si>
  <si>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</si>
  <si>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</si>
  <si>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</si>
  <si>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</si>
  <si>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</si>
  <si>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</si>
  <si>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</si>
  <si>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</si>
  <si>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</si>
  <si>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</si>
  <si>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</si>
  <si>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</si>
  <si>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</si>
  <si>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</si>
  <si>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</si>
  <si>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</si>
  <si>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</si>
  <si>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</si>
  <si>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</si>
  <si>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</si>
  <si>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</si>
  <si>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</si>
  <si>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</si>
  <si>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</si>
  <si>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</si>
  <si>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</si>
  <si>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</si>
  <si>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</si>
  <si>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</si>
  <si>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</si>
  <si>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</si>
  <si>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</si>
  <si>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</si>
  <si>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</si>
  <si>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</si>
  <si>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</si>
  <si>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</si>
  <si>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</si>
  <si>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</si>
  <si>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</si>
  <si>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</si>
  <si>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</si>
  <si>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</si>
  <si>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</si>
  <si>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</si>
  <si>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</si>
  <si>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</si>
  <si>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</si>
  <si>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</si>
  <si>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</si>
  <si>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</si>
  <si>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</si>
  <si>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</si>
  <si>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</si>
  <si>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</si>
  <si>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</si>
  <si>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</si>
  <si>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</si>
  <si>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</si>
  <si>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</si>
  <si>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</si>
  <si>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</si>
  <si>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</si>
  <si>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</si>
  <si>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</si>
  <si>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</si>
  <si>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</si>
  <si>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</si>
  <si>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</si>
  <si>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</si>
  <si>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</si>
  <si>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</si>
  <si>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</si>
  <si>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</si>
  <si>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</si>
  <si>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</si>
  <si>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</si>
  <si>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</si>
  <si>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</si>
  <si>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</si>
  <si>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</si>
  <si>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</si>
  <si>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</si>
  <si>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</si>
  <si>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</si>
  <si>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</si>
  <si>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</si>
  <si>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</si>
  <si>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</si>
  <si>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</si>
  <si>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</si>
  <si>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</si>
  <si>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</si>
  <si>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</si>
  <si>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</si>
  <si>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</si>
  <si>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</si>
  <si>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</si>
  <si>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</si>
  <si>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</si>
  <si>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</si>
  <si>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</si>
  <si>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</si>
  <si>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</si>
  <si>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</si>
  <si>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</si>
  <si>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</si>
  <si>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</si>
  <si>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</si>
  <si>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</si>
  <si>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</si>
  <si>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</si>
  <si>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</si>
  <si>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</si>
  <si>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</si>
  <si>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</si>
  <si>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</si>
  <si>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</si>
  <si>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</si>
  <si>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</si>
  <si>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</si>
  <si>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</si>
  <si>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</si>
  <si>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</si>
  <si>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</si>
  <si>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</si>
  <si>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</si>
  <si>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</si>
  <si>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</si>
  <si>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</si>
  <si>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</si>
  <si>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</si>
  <si>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</si>
  <si>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</si>
  <si>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</si>
  <si>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</si>
  <si>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</si>
  <si>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</si>
  <si>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</si>
  <si>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</si>
  <si>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</si>
  <si>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</si>
  <si>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</si>
  <si>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</si>
  <si>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</si>
  <si>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</si>
  <si>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</si>
  <si>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</si>
  <si>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</si>
  <si>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</si>
  <si>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</si>
  <si>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</si>
  <si>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</si>
  <si>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</si>
  <si>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</si>
  <si>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</si>
  <si>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</si>
  <si>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</si>
  <si>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</si>
  <si>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</si>
  <si>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</si>
  <si>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</si>
  <si>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</si>
  <si>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</si>
  <si>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</si>
  <si>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</si>
  <si>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</si>
  <si>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</si>
  <si>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</si>
  <si>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</si>
  <si>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</si>
  <si>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</si>
  <si>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</si>
  <si>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</si>
  <si>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</si>
  <si>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</si>
  <si>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</si>
  <si>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</si>
  <si>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</si>
  <si>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</si>
  <si>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</si>
  <si>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</si>
  <si>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</si>
  <si>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</si>
  <si>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</si>
  <si>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</si>
  <si>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</si>
  <si>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</si>
  <si>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</si>
  <si>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</si>
  <si>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</si>
  <si>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</si>
  <si>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</si>
  <si>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</si>
  <si>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</si>
  <si>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</si>
  <si>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</si>
  <si>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</si>
  <si>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</si>
  <si>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</si>
  <si>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</si>
  <si>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</si>
  <si>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</si>
  <si>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</si>
  <si>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</si>
  <si>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</si>
  <si>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</si>
  <si>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</si>
  <si>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</si>
  <si>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</si>
  <si>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</si>
  <si>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</si>
  <si>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</si>
  <si>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</si>
  <si>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</si>
  <si>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</si>
  <si>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</si>
  <si>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</si>
  <si>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</si>
  <si>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</si>
  <si>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</si>
  <si>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</si>
  <si>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</si>
  <si>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</si>
  <si>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</si>
  <si>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</si>
  <si>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</si>
  <si>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</si>
  <si>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</si>
  <si>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</si>
  <si>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</si>
  <si>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</si>
  <si>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</si>
  <si>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</si>
  <si>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</si>
  <si>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</si>
  <si>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</si>
  <si>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</si>
  <si>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</si>
  <si>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</si>
  <si>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</si>
  <si>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</si>
  <si>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</si>
  <si>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</si>
  <si>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</si>
  <si>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</si>
  <si>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</si>
  <si>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</si>
  <si>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</si>
  <si>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</si>
  <si>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</si>
  <si>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</si>
  <si>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</si>
  <si>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</si>
  <si>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</si>
  <si>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</si>
  <si>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</si>
  <si>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</si>
  <si>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</si>
  <si>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</si>
  <si>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</si>
  <si>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</si>
  <si>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</si>
  <si>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</si>
  <si>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</si>
  <si>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</si>
  <si>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</si>
  <si>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</si>
  <si>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</si>
  <si>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</si>
  <si>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</si>
  <si>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</si>
  <si>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</si>
  <si>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</si>
  <si>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</si>
  <si>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</si>
  <si>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</si>
  <si>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</si>
  <si>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</si>
  <si>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</si>
  <si>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</si>
  <si>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</si>
  <si>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</si>
  <si>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</si>
  <si>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</si>
  <si>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</si>
  <si>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</si>
  <si>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</si>
  <si>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</si>
  <si>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</si>
  <si>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</si>
  <si>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</si>
  <si>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</si>
  <si>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</si>
  <si>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</si>
  <si>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</si>
  <si>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</si>
  <si>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</si>
  <si>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</si>
  <si>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</si>
  <si>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</si>
  <si>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</si>
  <si>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</si>
  <si>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</si>
  <si>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</si>
  <si>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</si>
  <si>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</si>
  <si>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</si>
  <si>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</si>
  <si>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</si>
  <si>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</si>
  <si>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</si>
  <si>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</si>
  <si>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</si>
  <si>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</si>
  <si>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</si>
  <si>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</si>
  <si>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</si>
  <si>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</si>
  <si>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</si>
  <si>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</si>
  <si>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</si>
  <si>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</si>
  <si>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</si>
  <si>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</si>
  <si>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</si>
  <si>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</si>
  <si>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</si>
  <si>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</si>
  <si>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</si>
  <si>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</si>
  <si>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</si>
  <si>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</si>
  <si>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</si>
  <si>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</si>
  <si>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</si>
  <si>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</si>
  <si>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</si>
  <si>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</si>
  <si>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</si>
  <si>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</si>
  <si>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</si>
  <si>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</si>
  <si>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</si>
  <si>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</si>
  <si>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</si>
  <si>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</si>
  <si>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</si>
  <si>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</si>
  <si>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</si>
  <si>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</si>
  <si>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</si>
  <si>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</si>
  <si>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</si>
  <si>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</si>
  <si>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</si>
  <si>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</si>
  <si>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</si>
  <si>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</si>
  <si>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</si>
  <si>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</si>
  <si>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</si>
  <si>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</si>
  <si>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</si>
  <si>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</si>
  <si>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</si>
  <si>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</si>
  <si>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</si>
  <si>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</si>
  <si>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</si>
  <si>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</si>
  <si>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</si>
  <si>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</si>
  <si>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</si>
  <si>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</si>
  <si>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</si>
  <si>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</si>
  <si>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</si>
  <si>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</si>
  <si>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</si>
  <si>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</si>
  <si>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</si>
  <si>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</si>
  <si>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</si>
  <si>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</si>
  <si>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</si>
  <si>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</si>
  <si>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</si>
  <si>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</si>
  <si>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</si>
  <si>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</si>
  <si>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</si>
  <si>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</si>
  <si>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</si>
  <si>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</si>
  <si>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</si>
  <si>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</si>
  <si>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</si>
  <si>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</si>
  <si>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</si>
  <si>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</si>
  <si>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</si>
  <si>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</si>
  <si>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</si>
  <si>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</si>
  <si>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</si>
  <si>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</si>
  <si>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</si>
  <si>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</si>
  <si>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</si>
  <si>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</si>
  <si>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</si>
  <si>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</si>
  <si>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</si>
  <si>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</si>
  <si>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</si>
  <si>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</si>
  <si>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</si>
  <si>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</si>
  <si>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</si>
  <si>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</si>
  <si>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</si>
  <si>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</si>
  <si>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</si>
  <si>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</si>
  <si>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</si>
  <si>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</si>
  <si>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</si>
  <si>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</si>
  <si>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</si>
  <si>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</si>
  <si>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</si>
  <si>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</si>
  <si>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</si>
  <si>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</si>
  <si>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</si>
  <si>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</si>
  <si>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</si>
  <si>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</si>
  <si>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</si>
  <si>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</si>
  <si>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</si>
  <si>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</si>
  <si>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</si>
  <si>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</si>
  <si>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</si>
  <si>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</si>
  <si>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</si>
  <si>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</si>
  <si>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</si>
  <si>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</si>
  <si>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</si>
  <si>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</si>
  <si>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</si>
  <si>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</si>
  <si>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</si>
  <si>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</si>
  <si>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</si>
  <si>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</si>
  <si>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</si>
  <si>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</si>
  <si>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</si>
  <si>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</si>
  <si>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</si>
  <si>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</si>
  <si>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</si>
  <si>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</si>
  <si>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</si>
  <si>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</si>
  <si>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</si>
  <si>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</si>
  <si>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</si>
  <si>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</si>
  <si>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</si>
  <si>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</si>
  <si>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</si>
  <si>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</si>
  <si>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</si>
  <si>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</si>
  <si>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</si>
  <si>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</si>
  <si>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</si>
  <si>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</si>
  <si>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</si>
  <si>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</si>
  <si>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</si>
  <si>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</si>
  <si>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</si>
  <si>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</si>
  <si>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</si>
  <si>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</si>
  <si>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</si>
  <si>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</si>
  <si>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</si>
  <si>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</si>
  <si>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</si>
  <si>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</si>
  <si>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</si>
  <si>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</si>
  <si>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</si>
  <si>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</si>
  <si>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</si>
  <si>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</si>
  <si>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</si>
  <si>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</si>
  <si>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</si>
  <si>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</si>
  <si>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</si>
  <si>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</si>
  <si>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</si>
  <si>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</si>
  <si>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</si>
  <si>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</si>
  <si>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</si>
  <si>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</si>
  <si>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</si>
  <si>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</si>
  <si>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</si>
  <si>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</si>
  <si>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</si>
  <si>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</si>
  <si>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</si>
  <si>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</si>
  <si>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</si>
  <si>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</si>
  <si>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</si>
  <si>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</si>
  <si>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</si>
  <si>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</si>
  <si>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</si>
  <si>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</si>
  <si>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</si>
  <si>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</si>
  <si>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</si>
  <si>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</si>
  <si>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</si>
  <si>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</si>
  <si>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</si>
  <si>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</si>
  <si>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</si>
  <si>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</si>
  <si>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</si>
  <si>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</si>
  <si>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</si>
  <si>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</si>
  <si>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</si>
  <si>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</si>
  <si>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</si>
  <si>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</si>
  <si>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</si>
  <si>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</si>
  <si>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</si>
  <si>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</si>
  <si>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</si>
  <si>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</si>
  <si>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</si>
  <si>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</si>
  <si>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</si>
  <si>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</si>
  <si>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</si>
  <si>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</si>
  <si>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</si>
  <si>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</si>
  <si>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</si>
  <si>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</si>
  <si>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</si>
  <si>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</si>
  <si>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</si>
  <si>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</si>
  <si>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</si>
  <si>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</si>
  <si>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</si>
  <si>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</si>
  <si>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</si>
  <si>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</si>
  <si>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</si>
  <si>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</si>
  <si>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</si>
  <si>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</si>
  <si>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</si>
  <si>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</si>
  <si>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</si>
  <si>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</si>
  <si>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</si>
  <si>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</si>
  <si>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</si>
  <si>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</si>
  <si>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</si>
  <si>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</si>
  <si>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</si>
  <si>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</si>
  <si>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</si>
  <si>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</si>
  <si>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</si>
  <si>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</si>
  <si>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</si>
  <si>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</si>
  <si>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</si>
  <si>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</si>
  <si>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</si>
  <si>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</si>
  <si>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</si>
  <si>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</si>
  <si>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</si>
  <si>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</si>
  <si>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</si>
  <si>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</si>
  <si>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</si>
  <si>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</si>
  <si>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</si>
  <si>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</si>
  <si>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</si>
  <si>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</si>
  <si>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</si>
  <si>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</si>
  <si>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</si>
  <si>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</si>
  <si>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</si>
  <si>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</si>
  <si>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</si>
  <si>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</si>
  <si>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</si>
  <si>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</si>
  <si>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</si>
  <si>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</si>
  <si>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</si>
  <si>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</si>
  <si>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</si>
  <si>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</si>
  <si>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</si>
  <si>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</si>
  <si>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</si>
  <si>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</si>
  <si>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</si>
  <si>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</si>
  <si>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</si>
  <si>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</si>
  <si>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</si>
  <si>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</si>
  <si>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</si>
  <si>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</si>
  <si>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</si>
  <si>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</si>
  <si>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</si>
  <si>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</si>
  <si>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</si>
  <si>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</si>
  <si>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</si>
  <si>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</si>
  <si>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</si>
  <si>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</si>
  <si>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</si>
  <si>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</si>
  <si>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</si>
  <si>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</si>
  <si>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</si>
  <si>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</si>
  <si>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</si>
  <si>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</si>
  <si>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</si>
  <si>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</si>
  <si>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</si>
  <si>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</si>
  <si>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</si>
  <si>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</si>
  <si>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</si>
  <si>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</si>
  <si>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</si>
  <si>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</si>
  <si>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</si>
  <si>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</si>
  <si>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</si>
  <si>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</si>
  <si>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</si>
  <si>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</si>
  <si>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</si>
  <si>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</si>
  <si>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</si>
  <si>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</si>
  <si>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</si>
  <si>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</si>
  <si>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</si>
  <si>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</si>
  <si>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</si>
  <si>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</si>
  <si>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</si>
  <si>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</si>
  <si>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</si>
  <si>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</si>
  <si>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</si>
  <si>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</si>
  <si>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</si>
  <si>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</si>
  <si>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</si>
  <si>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</si>
  <si>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</si>
  <si>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</si>
  <si>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</si>
  <si>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</si>
  <si>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</si>
  <si>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</si>
  <si>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</si>
  <si>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</si>
  <si>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</si>
  <si>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</si>
  <si>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</si>
  <si>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</si>
  <si>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</si>
  <si>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</si>
  <si>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</si>
  <si>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</si>
  <si>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</si>
  <si>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</si>
  <si>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</si>
  <si>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</si>
  <si>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</si>
  <si>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</si>
  <si>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</si>
  <si>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</si>
  <si>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</si>
  <si>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</si>
  <si>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</si>
  <si>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</si>
  <si>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</si>
  <si>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</si>
  <si>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</si>
  <si>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</si>
  <si>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</si>
  <si>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</si>
  <si>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</si>
  <si>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</si>
  <si>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</si>
  <si>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</si>
  <si>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</si>
  <si>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</si>
  <si>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</si>
  <si>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</si>
  <si>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</si>
  <si>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</si>
  <si>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</si>
  <si>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</si>
  <si>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</si>
  <si>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</si>
  <si>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</si>
  <si>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</si>
  <si>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</si>
  <si>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</si>
  <si>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</si>
  <si>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</si>
  <si>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</si>
  <si>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</si>
  <si>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</si>
  <si>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</si>
  <si>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</si>
  <si>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</si>
  <si>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</si>
  <si>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</si>
  <si>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</si>
  <si>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</si>
  <si>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</si>
  <si>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</si>
  <si>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</si>
  <si>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</si>
  <si>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</si>
  <si>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</si>
  <si>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</si>
  <si>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</si>
  <si>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</si>
  <si>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</si>
  <si>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</si>
  <si>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</si>
  <si>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</si>
  <si>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</si>
  <si>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</si>
  <si>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</si>
  <si>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</si>
  <si>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</si>
  <si>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</si>
  <si>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</si>
  <si>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</si>
  <si>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</si>
  <si>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</si>
  <si>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</si>
  <si>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</si>
  <si>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</si>
  <si>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</si>
  <si>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</si>
  <si>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</si>
  <si>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</si>
  <si>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</si>
  <si>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</si>
  <si>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</si>
  <si>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</si>
  <si>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</si>
  <si>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</si>
  <si>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</si>
  <si>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</si>
  <si>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</si>
  <si>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</si>
  <si>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</si>
  <si>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</si>
  <si>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</si>
  <si>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</si>
  <si>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</si>
  <si>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</si>
  <si>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</si>
  <si>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</si>
  <si>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</si>
  <si>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</si>
  <si>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</si>
  <si>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</si>
  <si>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</si>
  <si>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</si>
  <si>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</si>
  <si>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</si>
  <si>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</si>
  <si>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</si>
  <si>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</si>
  <si>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</si>
  <si>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</si>
  <si>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</si>
  <si>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</si>
  <si>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</si>
  <si>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</si>
  <si>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</si>
  <si>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</si>
  <si>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</si>
  <si>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</si>
  <si>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</si>
  <si>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</si>
  <si>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</si>
  <si>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</si>
  <si>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</si>
  <si>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</si>
  <si>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</si>
  <si>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</si>
  <si>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</si>
  <si>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</si>
  <si>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</si>
  <si>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</si>
  <si>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</si>
  <si>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</si>
  <si>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</si>
  <si>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</si>
  <si>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</si>
  <si>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</si>
  <si>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</si>
  <si>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</si>
  <si>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</si>
  <si>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</si>
  <si>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</si>
  <si>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</si>
  <si>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</si>
  <si>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</si>
  <si>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</si>
  <si>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</si>
  <si>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</si>
  <si>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</si>
  <si>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</si>
  <si>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</si>
  <si>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</si>
  <si>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</si>
  <si>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</si>
  <si>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</si>
  <si>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</si>
  <si>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</si>
  <si>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</si>
  <si>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</si>
  <si>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</si>
  <si>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</si>
  <si>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</si>
  <si>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</si>
  <si>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</si>
  <si>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</si>
  <si>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</si>
  <si>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</si>
  <si>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</si>
  <si>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</si>
  <si>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</si>
  <si>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</si>
  <si>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</si>
  <si>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</si>
  <si>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</si>
  <si>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</si>
  <si>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</si>
  <si>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</si>
  <si>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</si>
  <si>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</si>
  <si>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</si>
  <si>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</si>
  <si>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</si>
  <si>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</si>
  <si>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</si>
  <si>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</si>
  <si>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</si>
  <si>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</si>
  <si>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</si>
  <si>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</si>
  <si>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</si>
  <si>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</si>
  <si>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</si>
  <si>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</si>
  <si>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</si>
  <si>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</si>
  <si>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</si>
  <si>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</si>
  <si>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</si>
  <si>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</si>
  <si>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</si>
  <si>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</si>
  <si>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</si>
  <si>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</si>
  <si>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</si>
  <si>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</si>
  <si>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</si>
  <si>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</si>
  <si>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</si>
  <si>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</si>
  <si>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</si>
  <si>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</si>
  <si>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</si>
  <si>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</si>
  <si>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</si>
  <si>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</si>
  <si>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</si>
  <si>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</si>
  <si>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</si>
  <si>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</si>
  <si>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</si>
  <si>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</si>
  <si>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</si>
  <si>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</si>
  <si>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</si>
  <si>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</si>
  <si>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</si>
  <si>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</si>
  <si>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</si>
  <si>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</si>
  <si>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</si>
  <si>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</si>
  <si>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</si>
  <si>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</si>
  <si>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</si>
  <si>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</si>
  <si>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</si>
  <si>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</si>
  <si>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</si>
  <si>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</si>
  <si>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</si>
  <si>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</si>
  <si>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</si>
  <si>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</si>
  <si>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</si>
  <si>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</si>
  <si>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</si>
  <si>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</si>
  <si>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</si>
  <si>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</si>
  <si>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</si>
  <si>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</si>
  <si>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</si>
  <si>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</si>
  <si>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</si>
  <si>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</si>
  <si>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</si>
  <si>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</si>
  <si>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</si>
  <si>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</si>
  <si>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</si>
  <si>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</si>
  <si>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</si>
  <si>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</si>
  <si>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</si>
  <si>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</si>
  <si>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</si>
  <si>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</si>
  <si>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</si>
  <si>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</si>
  <si>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</si>
  <si>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</si>
  <si>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</si>
  <si>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</si>
  <si>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</si>
  <si>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</si>
  <si>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</si>
  <si>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</si>
  <si>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</si>
  <si>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</si>
  <si>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</si>
  <si>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</si>
  <si>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</si>
  <si>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</si>
  <si>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</si>
  <si>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</si>
  <si>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</si>
  <si>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</si>
  <si>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</si>
  <si>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</si>
  <si>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</si>
  <si>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</si>
  <si>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</si>
  <si>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</si>
  <si>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</si>
  <si>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</si>
  <si>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</si>
  <si>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</si>
  <si>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</si>
  <si>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</si>
  <si>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</si>
  <si>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</si>
  <si>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</si>
  <si>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</si>
  <si>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</si>
  <si>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</si>
  <si>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</si>
  <si>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</si>
  <si>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</si>
  <si>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</si>
  <si>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</si>
  <si>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</si>
  <si>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</si>
  <si>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</si>
  <si>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</si>
  <si>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</si>
  <si>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</si>
  <si>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</si>
  <si>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</si>
  <si>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</si>
  <si>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</si>
  <si>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</si>
  <si>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</si>
  <si>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</si>
  <si>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</si>
  <si>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</si>
  <si>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</si>
  <si>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</si>
  <si>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</si>
  <si>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</si>
  <si>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</si>
  <si>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</si>
  <si>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</si>
  <si>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</si>
  <si>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</si>
  <si>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</si>
  <si>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</si>
  <si>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</si>
  <si>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</si>
  <si>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</si>
  <si>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</si>
  <si>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</si>
  <si>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</si>
  <si>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</si>
  <si>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</si>
  <si>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</si>
  <si>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</si>
  <si>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</si>
  <si>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</si>
  <si>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</si>
  <si>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</si>
  <si>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</si>
  <si>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</si>
  <si>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</si>
  <si>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</si>
  <si>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</si>
  <si>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</si>
  <si>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</si>
  <si>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</si>
  <si>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</si>
  <si>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</si>
  <si>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</si>
  <si>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</si>
  <si>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</si>
  <si>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</si>
  <si>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</si>
  <si>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</si>
  <si>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</si>
  <si>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</si>
  <si>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</si>
  <si>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</si>
  <si>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</si>
  <si>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</si>
  <si>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</si>
  <si>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</si>
  <si>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</si>
  <si>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</si>
  <si>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</si>
  <si>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</si>
  <si>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</si>
  <si>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</si>
  <si>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</si>
  <si>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</si>
  <si>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</si>
  <si>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</si>
  <si>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</si>
  <si>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</si>
  <si>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</si>
  <si>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</si>
  <si>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</si>
  <si>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</si>
  <si>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</si>
  <si>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</si>
  <si>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</si>
  <si>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</si>
  <si>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</si>
  <si>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</si>
  <si>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</si>
  <si>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</si>
  <si>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</si>
  <si>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</si>
  <si>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</si>
  <si>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</si>
  <si>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</si>
  <si>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</si>
  <si>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</si>
  <si>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</si>
  <si>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</si>
  <si>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</si>
  <si>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</si>
  <si>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</si>
  <si>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</si>
  <si>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</si>
  <si>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</si>
  <si>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</si>
  <si>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</si>
  <si>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</si>
  <si>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</si>
  <si>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</si>
  <si>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</si>
  <si>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</si>
  <si>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</si>
  <si>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</si>
  <si>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</si>
  <si>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</si>
  <si>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</si>
  <si>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</si>
  <si>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</si>
  <si>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</si>
  <si>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</si>
  <si>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</si>
  <si>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</si>
  <si>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</si>
  <si>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</si>
  <si>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</si>
  <si>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</si>
  <si>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</si>
  <si>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</si>
  <si>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</si>
  <si>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</si>
  <si>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</si>
  <si>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</si>
  <si>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</si>
  <si>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</si>
  <si>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</si>
  <si>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</si>
  <si>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</si>
  <si>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</si>
  <si>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</si>
  <si>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</si>
  <si>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</si>
  <si>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</si>
  <si>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</si>
  <si>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</si>
  <si>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</si>
  <si>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</si>
  <si>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</si>
  <si>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</si>
  <si>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</si>
  <si>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</si>
  <si>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</si>
  <si>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</si>
  <si>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</si>
  <si>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</si>
  <si>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</si>
  <si>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</si>
  <si>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</si>
  <si>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</si>
  <si>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</si>
  <si>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</si>
  <si>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</si>
  <si>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</si>
  <si>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</si>
  <si>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</si>
  <si>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</si>
  <si>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</si>
  <si>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</si>
  <si>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</si>
  <si>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</si>
  <si>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</si>
  <si>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</si>
  <si>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</si>
  <si>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</si>
  <si>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</si>
  <si>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</si>
  <si>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</si>
  <si>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</si>
  <si>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</si>
  <si>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</si>
  <si>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</si>
  <si>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</si>
  <si>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</si>
  <si>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</si>
  <si>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</si>
  <si>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</si>
  <si>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</si>
  <si>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</si>
  <si>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</si>
  <si>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</si>
  <si>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</si>
  <si>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</si>
  <si>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</si>
  <si>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</si>
  <si>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</si>
  <si>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</si>
  <si>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</si>
  <si>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</si>
  <si>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</si>
  <si>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</si>
  <si>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</si>
  <si>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</si>
  <si>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</si>
  <si>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</si>
  <si>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</si>
  <si>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</si>
  <si>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</si>
  <si>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</si>
  <si>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</si>
  <si>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</si>
  <si>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</si>
  <si>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</si>
  <si>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</si>
  <si>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</si>
  <si>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</si>
  <si>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</si>
  <si>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</si>
  <si>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</si>
  <si>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</si>
  <si>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</si>
  <si>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</si>
  <si>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</si>
  <si>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</si>
  <si>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</si>
  <si>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</si>
  <si>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</si>
  <si>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</si>
  <si>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</si>
  <si>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</si>
  <si>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</si>
  <si>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</si>
  <si>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</si>
  <si>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</si>
  <si>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</si>
  <si>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</si>
  <si>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</si>
  <si>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</si>
  <si>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</si>
  <si>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</si>
  <si>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</si>
  <si>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</si>
  <si>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</si>
  <si>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</si>
  <si>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</si>
  <si>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</si>
  <si>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</si>
  <si>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</si>
  <si>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</si>
  <si>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</si>
  <si>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</si>
  <si>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</si>
  <si>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</si>
  <si>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</si>
  <si>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</si>
  <si>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</si>
  <si>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</si>
  <si>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</si>
  <si>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</si>
  <si>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</si>
  <si>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</si>
  <si>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</si>
  <si>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</si>
  <si>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</si>
  <si>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</si>
  <si>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</si>
  <si>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</si>
  <si>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</si>
  <si>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</si>
  <si>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</si>
  <si>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</si>
  <si>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</si>
  <si>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</si>
  <si>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</si>
  <si>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</si>
  <si>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</si>
  <si>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</si>
  <si>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</si>
  <si>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</si>
  <si>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</si>
  <si>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</si>
  <si>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</si>
  <si>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</si>
  <si>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</si>
  <si>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</si>
  <si>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</si>
  <si>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</si>
  <si>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</si>
  <si>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</si>
  <si>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</si>
  <si>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</si>
  <si>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</si>
  <si>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</si>
  <si>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</si>
  <si>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</si>
  <si>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</si>
  <si>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</si>
  <si>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</si>
  <si>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</si>
  <si>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</si>
  <si>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</si>
  <si>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</si>
  <si>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</si>
  <si>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</si>
  <si>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</si>
  <si>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</si>
  <si>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</si>
  <si>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</si>
  <si>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</si>
  <si>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</si>
  <si>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</si>
  <si>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</si>
  <si>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</si>
  <si>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</si>
  <si>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</si>
  <si>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</si>
  <si>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</si>
  <si>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</si>
  <si>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</si>
  <si>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</si>
  <si>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</si>
  <si>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</si>
  <si>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</si>
  <si>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</si>
  <si>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</si>
  <si>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</si>
  <si>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</si>
  <si>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</si>
  <si>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</si>
  <si>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</si>
  <si>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</si>
  <si>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</si>
  <si>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</si>
  <si>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</si>
  <si>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</si>
  <si>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</si>
  <si>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</si>
  <si>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</si>
  <si>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</si>
  <si>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</si>
  <si>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</si>
  <si>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</si>
  <si>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</si>
  <si>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</si>
  <si>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</si>
  <si>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</si>
  <si>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</si>
  <si>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</si>
  <si>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</si>
  <si>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</si>
  <si>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</si>
  <si>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</si>
  <si>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</si>
  <si>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</si>
  <si>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</si>
  <si>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</si>
  <si>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</si>
  <si>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</si>
  <si>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</si>
  <si>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</si>
  <si>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</si>
  <si>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</si>
  <si>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</si>
  <si>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</si>
  <si>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</si>
  <si>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</si>
  <si>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</si>
  <si>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</si>
  <si>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</si>
  <si>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</si>
  <si>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</si>
  <si>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</si>
  <si>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</si>
  <si>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</si>
  <si>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</si>
  <si>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</si>
  <si>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</si>
  <si>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</si>
  <si>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</si>
  <si>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</si>
  <si>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</si>
  <si>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</si>
  <si>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</si>
  <si>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</si>
  <si>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</si>
  <si>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</si>
  <si>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</si>
  <si>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</si>
  <si>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</si>
  <si>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</si>
  <si>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</si>
  <si>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</si>
  <si>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</si>
  <si>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</si>
  <si>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</si>
  <si>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</si>
  <si>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</si>
  <si>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</si>
  <si>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</si>
  <si>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</si>
  <si>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</si>
  <si>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</si>
  <si>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</si>
  <si>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</si>
  <si>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</si>
  <si>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</si>
  <si>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</si>
  <si>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</si>
  <si>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</si>
  <si>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</si>
  <si>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</si>
  <si>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</si>
  <si>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</si>
  <si>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</si>
  <si>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</si>
  <si>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</si>
  <si>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</si>
  <si>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</si>
  <si>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</si>
  <si>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</si>
  <si>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</si>
  <si>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</si>
  <si>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</si>
  <si>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</si>
  <si>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</si>
  <si>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</si>
  <si>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</si>
  <si>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</si>
  <si>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</si>
  <si>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</si>
  <si>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</si>
  <si>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</si>
  <si>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</si>
  <si>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</si>
  <si>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</si>
  <si>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</si>
  <si>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</si>
  <si>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</si>
  <si>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</si>
  <si>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</si>
  <si>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</si>
  <si>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</si>
  <si>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</si>
  <si>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</si>
  <si>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</si>
  <si>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</si>
  <si>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</si>
  <si>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</si>
  <si>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</si>
  <si>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</si>
  <si>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</si>
  <si>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</si>
  <si>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</si>
  <si>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</si>
  <si>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</si>
  <si>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</si>
  <si>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</si>
  <si>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</si>
  <si>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</si>
  <si>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</si>
  <si>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</si>
  <si>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</si>
  <si>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</si>
  <si>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</si>
  <si>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</si>
  <si>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</si>
  <si>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</si>
  <si>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</si>
  <si>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</si>
  <si>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</si>
  <si>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</si>
  <si>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</si>
  <si>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</si>
  <si>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</si>
  <si>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</si>
  <si>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</si>
  <si>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</si>
  <si>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</si>
  <si>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</si>
  <si>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</si>
  <si>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</si>
  <si>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</si>
  <si>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</si>
  <si>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</si>
  <si>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</si>
  <si>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</si>
  <si>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</si>
  <si>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</si>
  <si>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</si>
  <si>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</si>
  <si>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</si>
  <si>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</si>
  <si>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</si>
  <si>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</si>
  <si>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</si>
  <si>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</si>
  <si>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</si>
  <si>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</si>
  <si>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</si>
  <si>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</si>
  <si>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</si>
  <si>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</si>
  <si>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</si>
  <si>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</si>
  <si>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</si>
  <si>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</si>
  <si>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</si>
  <si>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</si>
  <si>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</si>
  <si>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</si>
  <si>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</si>
  <si>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</si>
  <si>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</si>
  <si>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</si>
  <si>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</si>
  <si>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</si>
  <si>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</si>
  <si>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</si>
  <si>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</si>
  <si>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</si>
  <si>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</si>
  <si>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</si>
  <si>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</si>
  <si>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</si>
  <si>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</si>
  <si>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</si>
  <si>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</si>
  <si>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</si>
  <si>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</si>
  <si>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</si>
  <si>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</si>
  <si>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</si>
  <si>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</si>
  <si>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</si>
  <si>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</si>
  <si>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</si>
  <si>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</si>
  <si>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</si>
  <si>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</si>
  <si>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</si>
  <si>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</si>
  <si>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</si>
  <si>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</si>
  <si>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</si>
  <si>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</si>
  <si>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</si>
  <si>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</si>
  <si>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</si>
  <si>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</si>
  <si>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</si>
  <si>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</si>
  <si>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</si>
  <si>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</si>
  <si>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</si>
  <si>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</si>
  <si>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</si>
  <si>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</si>
  <si>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</si>
  <si>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</si>
  <si>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</si>
  <si>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</si>
  <si>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</si>
  <si>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</si>
  <si>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</si>
  <si>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</si>
  <si>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</si>
  <si>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</si>
  <si>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</si>
  <si>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</si>
  <si>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</si>
  <si>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</si>
  <si>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</si>
  <si>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</si>
  <si>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</si>
  <si>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</si>
  <si>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</si>
  <si>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</si>
  <si>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</si>
  <si>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</si>
  <si>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</si>
  <si>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</si>
  <si>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</si>
  <si>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</si>
  <si>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</si>
  <si>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</si>
  <si>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</si>
  <si>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</si>
  <si>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</si>
  <si>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</si>
  <si>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</si>
  <si>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</si>
  <si>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</si>
  <si>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</si>
  <si>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</si>
  <si>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</si>
  <si>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</si>
  <si>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</si>
  <si>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</si>
  <si>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</si>
  <si>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</si>
  <si>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</si>
  <si>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</si>
  <si>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</si>
  <si>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</si>
  <si>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</si>
  <si>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</si>
  <si>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</si>
  <si>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</si>
  <si>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</si>
  <si>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</si>
  <si>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</si>
  <si>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</si>
  <si>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</si>
  <si>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</si>
  <si>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</si>
  <si>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</si>
  <si>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</si>
  <si>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</si>
  <si>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</si>
  <si>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</si>
  <si>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</si>
  <si>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</si>
  <si>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</si>
  <si>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</si>
  <si>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</si>
  <si>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</si>
  <si>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</si>
  <si>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</si>
  <si>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</si>
  <si>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</si>
  <si>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</si>
  <si>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</si>
  <si>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</si>
  <si>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</si>
  <si>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</si>
  <si>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</si>
  <si>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</si>
  <si>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</si>
  <si>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</si>
  <si>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</si>
  <si>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</si>
  <si>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</si>
  <si>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</si>
  <si>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</si>
  <si>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</si>
  <si>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</si>
  <si>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</si>
  <si>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</si>
  <si>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</si>
  <si>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</si>
  <si>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</si>
  <si>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</si>
  <si>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</si>
  <si>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</si>
  <si>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</si>
  <si>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</si>
  <si>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</si>
  <si>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</si>
  <si>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</si>
  <si>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</si>
  <si>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</si>
  <si>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</si>
  <si>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</si>
  <si>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</si>
  <si>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</si>
  <si>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</si>
  <si>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</si>
  <si>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</si>
  <si>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</si>
  <si>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</si>
  <si>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</si>
  <si>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</si>
  <si>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</si>
  <si>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</si>
  <si>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</si>
  <si>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</si>
  <si>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</si>
  <si>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</si>
  <si>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</si>
  <si>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</si>
  <si>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</si>
  <si>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</si>
  <si>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</si>
  <si>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</si>
  <si>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</si>
  <si>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</si>
  <si>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</si>
  <si>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</si>
  <si>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</si>
  <si>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</si>
  <si>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</si>
  <si>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</si>
  <si>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</si>
  <si>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</si>
  <si>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</si>
  <si>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</si>
  <si>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</si>
  <si>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</si>
  <si>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</si>
  <si>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</si>
  <si>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</si>
  <si>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</si>
  <si>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</si>
  <si>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</si>
  <si>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</si>
  <si>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</si>
  <si>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</si>
  <si>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</si>
  <si>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</si>
  <si>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</si>
  <si>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</si>
  <si>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</si>
  <si>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</si>
  <si>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</si>
  <si>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</si>
  <si>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</si>
  <si>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</si>
  <si>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</si>
  <si>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</si>
  <si>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</si>
  <si>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</si>
  <si>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</si>
  <si>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</si>
  <si>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</si>
  <si>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</si>
  <si>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</si>
  <si>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</si>
  <si>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</si>
  <si>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</si>
  <si>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</si>
  <si>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</si>
  <si>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</si>
  <si>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</si>
  <si>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</si>
  <si>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</si>
  <si>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</si>
  <si>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</si>
  <si>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</si>
  <si>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</si>
  <si>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</si>
  <si>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</si>
  <si>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</si>
  <si>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</si>
  <si>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</si>
  <si>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</si>
  <si>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</si>
  <si>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</si>
  <si>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</si>
  <si>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</si>
  <si>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</si>
  <si>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</si>
  <si>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</si>
  <si>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</si>
  <si>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</si>
  <si>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</si>
  <si>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</si>
  <si>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</si>
  <si>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</si>
  <si>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</si>
  <si>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</si>
  <si>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</si>
  <si>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</si>
  <si>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</si>
  <si>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</si>
  <si>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</si>
  <si>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</si>
  <si>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</si>
  <si>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</si>
  <si>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</si>
  <si>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</si>
  <si>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</si>
  <si>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</si>
  <si>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</si>
  <si>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</si>
  <si>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</si>
  <si>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</si>
  <si>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</si>
  <si>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</si>
  <si>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</si>
  <si>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</si>
  <si>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</si>
  <si>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</si>
  <si>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</si>
  <si>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</si>
  <si>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</si>
  <si>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</si>
  <si>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</si>
  <si>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</si>
  <si>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</si>
  <si>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</si>
  <si>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</si>
  <si>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</si>
  <si>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</si>
  <si>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</si>
  <si>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</si>
  <si>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</si>
  <si>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</si>
  <si>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</si>
  <si>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</si>
  <si>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</si>
  <si>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</si>
  <si>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</si>
  <si>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</si>
  <si>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</si>
  <si>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</si>
  <si>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</si>
  <si>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</si>
  <si>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</si>
  <si>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</si>
  <si>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</si>
  <si>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</si>
  <si>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</si>
  <si>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</si>
  <si>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</si>
  <si>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</si>
  <si>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</si>
  <si>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</si>
  <si>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</si>
  <si>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</si>
  <si>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</si>
  <si>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</si>
  <si>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</si>
  <si>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</si>
  <si>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</si>
  <si>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</si>
  <si>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</si>
  <si>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</si>
  <si>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</si>
  <si>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</si>
  <si>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</si>
  <si>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</si>
  <si>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</si>
  <si>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</si>
  <si>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</si>
  <si>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</si>
  <si>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</si>
  <si>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</si>
  <si>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</si>
  <si>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</si>
  <si>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</si>
  <si>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</si>
  <si>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</si>
  <si>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</si>
  <si>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</si>
  <si>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</si>
  <si>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</si>
  <si>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</si>
  <si>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</si>
  <si>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</si>
  <si>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</si>
  <si>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</si>
  <si>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</si>
  <si>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</si>
  <si>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</si>
  <si>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</si>
  <si>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</si>
  <si>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</si>
  <si>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</si>
  <si>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</si>
  <si>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</si>
  <si>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</si>
  <si>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</si>
  <si>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</si>
  <si>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</si>
  <si>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</si>
  <si>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</si>
  <si>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</si>
  <si>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</si>
  <si>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</si>
  <si>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</si>
  <si>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</si>
  <si>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</si>
  <si>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</si>
  <si>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</si>
  <si>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</si>
  <si>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</si>
  <si>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</si>
  <si>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</si>
  <si>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</si>
  <si>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</si>
  <si>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</si>
  <si>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</si>
  <si>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</si>
  <si>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</si>
  <si>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</si>
  <si>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</si>
  <si>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</si>
  <si>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</si>
  <si>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</si>
  <si>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</si>
  <si>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</si>
  <si>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</si>
  <si>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</si>
  <si>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</si>
  <si>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</si>
  <si>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</si>
  <si>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</si>
  <si>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</si>
  <si>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</si>
  <si>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</si>
  <si>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</si>
  <si>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</si>
  <si>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</si>
  <si>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</si>
  <si>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</si>
  <si>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</si>
  <si>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</si>
  <si>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</si>
  <si>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</si>
  <si>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</si>
  <si>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</si>
  <si>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</si>
  <si>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</si>
  <si>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</si>
  <si>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</si>
  <si>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</si>
  <si>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</si>
  <si>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</si>
  <si>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</si>
  <si>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</si>
  <si>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</si>
  <si>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</si>
  <si>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</si>
  <si>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</si>
  <si>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</si>
  <si>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</si>
  <si>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</si>
  <si>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</si>
  <si>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</si>
  <si>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</si>
  <si>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</si>
  <si>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</si>
  <si>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</si>
  <si>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</si>
  <si>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</si>
  <si>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</si>
  <si>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</si>
  <si>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</si>
  <si>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</si>
  <si>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</si>
  <si>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</si>
  <si>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</si>
  <si>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</si>
  <si>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</si>
  <si>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</si>
  <si>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</si>
  <si>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</si>
  <si>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</si>
  <si>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</si>
  <si>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</si>
  <si>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</si>
  <si>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</si>
  <si>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</si>
  <si>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</si>
  <si>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</si>
  <si>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</si>
  <si>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</si>
  <si>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</si>
  <si>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</si>
  <si>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</si>
  <si>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</si>
  <si>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</si>
  <si>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</si>
  <si>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</si>
  <si>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</si>
  <si>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</si>
  <si>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</si>
  <si>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</si>
  <si>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</si>
  <si>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</si>
  <si>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</si>
  <si>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</si>
  <si>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</si>
  <si>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</si>
  <si>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</si>
  <si>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</si>
  <si>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</si>
  <si>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</si>
  <si>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</si>
  <si>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</si>
  <si>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</si>
  <si>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</si>
  <si>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</si>
  <si>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</si>
  <si>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</si>
  <si>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</si>
  <si>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</si>
  <si>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</si>
  <si>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</si>
  <si>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</si>
  <si>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</si>
  <si>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</si>
  <si>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</si>
  <si>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</si>
  <si>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</si>
  <si>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</si>
  <si>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</si>
  <si>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</si>
  <si>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</si>
  <si>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</si>
  <si>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</si>
  <si>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</si>
  <si>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</si>
  <si>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</si>
  <si>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</si>
  <si>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</si>
  <si>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</si>
  <si>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</si>
  <si>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</si>
  <si>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</si>
  <si>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</si>
  <si>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</si>
  <si>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</si>
  <si>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</si>
  <si>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</si>
  <si>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</si>
  <si>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</si>
  <si>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</si>
  <si>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</si>
  <si>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</si>
  <si>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</si>
  <si>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</si>
  <si>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</si>
  <si>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</si>
  <si>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</si>
  <si>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</si>
  <si>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</si>
  <si>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</si>
  <si>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</si>
  <si>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</si>
  <si>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</si>
  <si>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</si>
  <si>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</si>
  <si>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</si>
  <si>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</si>
  <si>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</si>
  <si>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</si>
  <si>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</si>
  <si>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</si>
  <si>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</si>
  <si>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</si>
  <si>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</si>
  <si>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</si>
  <si>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</si>
  <si>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</si>
  <si>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</si>
  <si>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</si>
  <si>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</si>
  <si>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</si>
  <si>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</si>
  <si>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</si>
  <si>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</si>
  <si>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</si>
  <si>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</si>
  <si>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</si>
  <si>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</si>
  <si>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</si>
  <si>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</si>
  <si>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</si>
  <si>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</si>
  <si>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</si>
  <si>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</si>
  <si>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</si>
  <si>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</si>
  <si>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</si>
  <si>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</si>
  <si>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</si>
  <si>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</si>
  <si>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</si>
  <si>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</si>
  <si>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</si>
  <si>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</si>
  <si>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</si>
  <si>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</si>
  <si>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</si>
  <si>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</si>
  <si>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</si>
  <si>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</si>
  <si>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</si>
  <si>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</si>
  <si>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</si>
  <si>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</si>
  <si>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</si>
  <si>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</si>
  <si>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</si>
  <si>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</si>
  <si>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</si>
  <si>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</si>
  <si>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</si>
  <si>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</si>
  <si>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</si>
  <si>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</si>
  <si>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</si>
  <si>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</si>
  <si>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</si>
  <si>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</si>
  <si>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</si>
  <si>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</si>
  <si>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</si>
  <si>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</si>
  <si>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</si>
  <si>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</si>
  <si>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</si>
  <si>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</si>
  <si>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</si>
  <si>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</si>
  <si>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</si>
  <si>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</si>
  <si>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</si>
  <si>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</si>
  <si>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</si>
  <si>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</si>
  <si>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</si>
  <si>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</si>
  <si>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</si>
  <si>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</si>
  <si>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</si>
  <si>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</si>
  <si>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</si>
  <si>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</si>
  <si>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</si>
  <si>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</si>
  <si>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</si>
  <si>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</si>
  <si>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</si>
  <si>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</si>
  <si>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</si>
  <si>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</si>
  <si>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</si>
  <si>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</si>
  <si>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</si>
  <si>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</si>
  <si>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</si>
  <si>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</si>
  <si>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</si>
  <si>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</si>
  <si>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</si>
  <si>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</si>
  <si>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</si>
  <si>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</si>
  <si>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</si>
  <si>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</si>
  <si>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</si>
  <si>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</si>
  <si>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</si>
  <si>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</si>
  <si>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</si>
  <si>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</si>
  <si>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</si>
  <si>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</si>
  <si>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</si>
  <si>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</si>
  <si>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</si>
  <si>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</si>
  <si>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</si>
  <si>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</si>
  <si>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</si>
  <si>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</si>
  <si>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</si>
  <si>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</si>
  <si>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</si>
  <si>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</si>
  <si>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</si>
  <si>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</si>
  <si>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</si>
  <si>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</si>
  <si>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</si>
  <si>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</si>
  <si>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</si>
  <si>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</si>
  <si>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</si>
  <si>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</si>
  <si>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</si>
  <si>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</si>
  <si>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</si>
  <si>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</si>
  <si>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</si>
  <si>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</si>
  <si>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</si>
  <si>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</si>
  <si>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</si>
  <si>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</si>
  <si>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</si>
  <si>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</si>
  <si>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</si>
  <si>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</si>
  <si>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</si>
  <si>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</si>
  <si>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</si>
  <si>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</si>
  <si>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</si>
  <si>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</si>
  <si>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</si>
  <si>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</si>
  <si>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</si>
  <si>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</si>
  <si>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</si>
  <si>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</si>
  <si>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</si>
  <si>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</si>
  <si>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</si>
  <si>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</si>
  <si>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</si>
  <si>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</si>
  <si>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</si>
  <si>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</si>
  <si>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</si>
  <si>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</si>
  <si>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</si>
  <si>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</si>
  <si>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</si>
  <si>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</si>
  <si>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</si>
  <si>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</si>
  <si>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</si>
  <si>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</si>
  <si>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</si>
  <si>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</si>
  <si>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</si>
  <si>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</si>
  <si>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</si>
  <si>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</si>
  <si>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</si>
  <si>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</si>
  <si>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</si>
  <si>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</si>
  <si>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</si>
  <si>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</si>
  <si>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</si>
  <si>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</si>
  <si>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</si>
  <si>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</si>
  <si>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</si>
  <si>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</si>
  <si>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</si>
  <si>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</si>
  <si>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</si>
  <si>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</si>
  <si>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</si>
  <si>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</si>
  <si>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</si>
  <si>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</si>
  <si>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</si>
  <si>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</si>
  <si>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</si>
  <si>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</si>
  <si>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</si>
  <si>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</si>
  <si>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</si>
  <si>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</si>
  <si>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</si>
  <si>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</si>
  <si>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</si>
  <si>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</si>
  <si>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</si>
  <si>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</si>
  <si>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</si>
  <si>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</si>
  <si>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</si>
  <si>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</si>
  <si>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</si>
  <si>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</si>
  <si>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</si>
  <si>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</si>
  <si>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</si>
  <si>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</si>
  <si>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</si>
  <si>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</si>
  <si>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</si>
  <si>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</si>
  <si>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</si>
  <si>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</si>
  <si>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</si>
  <si>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</si>
  <si>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</si>
  <si>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</si>
  <si>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</si>
  <si>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</si>
  <si>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</si>
  <si>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</si>
  <si>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</si>
  <si>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</si>
  <si>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</si>
  <si>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</si>
  <si>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</si>
  <si>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</si>
  <si>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</si>
  <si>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</si>
  <si>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</si>
  <si>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</si>
  <si>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</si>
  <si>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</si>
  <si>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</si>
  <si>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</si>
  <si>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</si>
  <si>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</si>
  <si>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</si>
  <si>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</si>
  <si>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</si>
  <si>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</si>
  <si>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</si>
  <si>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</si>
  <si>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</si>
  <si>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</si>
  <si>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</si>
  <si>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</si>
  <si>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</si>
  <si>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</si>
  <si>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</si>
  <si>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</si>
  <si>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</si>
  <si>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</si>
  <si>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</si>
  <si>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</si>
  <si>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</si>
  <si>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</si>
  <si>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</si>
  <si>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</si>
  <si>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</si>
  <si>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</si>
  <si>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</si>
  <si>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</si>
  <si>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</si>
  <si>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</si>
  <si>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</si>
  <si>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</si>
  <si>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</si>
  <si>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</si>
  <si>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</si>
  <si>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</si>
  <si>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</si>
  <si>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</si>
  <si>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</si>
  <si>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</si>
  <si>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</si>
  <si>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</si>
  <si>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</si>
  <si>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</si>
  <si>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</si>
  <si>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</si>
  <si>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</si>
  <si>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</si>
  <si>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</si>
  <si>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</si>
  <si>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</si>
  <si>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</si>
  <si>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</si>
  <si>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</si>
  <si>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</si>
  <si>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</si>
  <si>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</si>
  <si>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</si>
  <si>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</si>
  <si>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</si>
  <si>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</si>
  <si>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</si>
  <si>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</si>
  <si>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</si>
  <si>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</si>
  <si>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</si>
  <si>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</si>
  <si>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</si>
  <si>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</si>
  <si>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</si>
  <si>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</si>
  <si>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</si>
  <si>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</si>
  <si>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</si>
  <si>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</si>
  <si>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</si>
  <si>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</si>
  <si>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</si>
  <si>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</si>
  <si>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</si>
  <si>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</si>
  <si>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</si>
  <si>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</si>
  <si>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</si>
  <si>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</si>
  <si>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</si>
  <si>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</si>
  <si>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</si>
  <si>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</si>
  <si>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</si>
  <si>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</si>
  <si>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</si>
  <si>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</si>
  <si>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</si>
  <si>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</si>
  <si>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</si>
  <si>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</si>
  <si>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</si>
  <si>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</si>
  <si>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</si>
  <si>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</si>
  <si>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</si>
  <si>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</si>
  <si>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</si>
  <si>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</si>
  <si>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</si>
  <si>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</si>
  <si>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</si>
  <si>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</si>
  <si>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</si>
  <si>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</si>
  <si>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</si>
  <si>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</si>
  <si>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</si>
  <si>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</si>
  <si>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</si>
  <si>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</si>
  <si>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</si>
  <si>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</si>
  <si>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</si>
  <si>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</si>
  <si>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</si>
  <si>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</si>
  <si>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</si>
  <si>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</si>
  <si>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</si>
  <si>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</si>
  <si>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</si>
  <si>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</si>
  <si>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</si>
  <si>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</si>
  <si>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</si>
  <si>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</si>
  <si>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</si>
  <si>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</si>
  <si>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</si>
  <si>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</si>
  <si>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</si>
  <si>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</si>
  <si>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</si>
  <si>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</si>
  <si>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</si>
  <si>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</si>
  <si>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</si>
  <si>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</si>
  <si>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</si>
  <si>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</si>
  <si>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</si>
  <si>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</si>
  <si>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</si>
  <si>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</si>
  <si>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</si>
  <si>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</si>
  <si>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</si>
  <si>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</si>
  <si>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</si>
  <si>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</si>
  <si>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</si>
  <si>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</si>
  <si>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</si>
  <si>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</si>
  <si>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</si>
  <si>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</si>
  <si>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</si>
  <si>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</si>
  <si>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</si>
  <si>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</si>
  <si>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</si>
  <si>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</si>
  <si>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</si>
  <si>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</si>
  <si>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</si>
  <si>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</si>
  <si>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</si>
  <si>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</si>
  <si>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</si>
  <si>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</si>
  <si>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</si>
  <si>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</si>
  <si>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</si>
  <si>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</si>
  <si>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</si>
  <si>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</si>
  <si>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</si>
  <si>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</si>
  <si>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</si>
  <si>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</si>
  <si>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</si>
  <si>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</si>
  <si>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</si>
  <si>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</si>
  <si>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</si>
  <si>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</si>
  <si>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</si>
  <si>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</si>
  <si>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</si>
  <si>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</si>
  <si>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</si>
  <si>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</si>
  <si>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</si>
  <si>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</si>
  <si>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</si>
  <si>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</si>
  <si>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</si>
  <si>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</si>
  <si>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</si>
  <si>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</si>
  <si>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</si>
  <si>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</si>
  <si>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</si>
  <si>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</si>
  <si>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</si>
  <si>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</si>
  <si>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</si>
  <si>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</si>
  <si>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</si>
  <si>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</si>
  <si>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</si>
  <si>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</si>
  <si>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</si>
  <si>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</si>
  <si>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</si>
  <si>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</si>
  <si>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</si>
  <si>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</si>
  <si>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</si>
  <si>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</si>
  <si>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</si>
  <si>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</si>
  <si>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</si>
  <si>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</si>
  <si>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</si>
  <si>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</si>
  <si>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</si>
  <si>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</si>
  <si>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</si>
  <si>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</si>
  <si>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</si>
  <si>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</si>
  <si>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</si>
  <si>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</si>
  <si>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</si>
  <si>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</si>
  <si>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</si>
  <si>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</si>
  <si>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</si>
  <si>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</si>
  <si>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</si>
  <si>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</si>
  <si>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</si>
  <si>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</si>
  <si>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</si>
  <si>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</si>
  <si>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</si>
  <si>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</si>
  <si>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</si>
  <si>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</si>
  <si>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</si>
  <si>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</si>
  <si>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</si>
  <si>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</si>
  <si>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</si>
  <si>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</si>
  <si>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</si>
  <si>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</si>
  <si>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</si>
  <si>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</si>
  <si>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</si>
  <si>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</si>
  <si>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</si>
  <si>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</si>
  <si>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</si>
  <si>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</si>
  <si>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</si>
  <si>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</si>
  <si>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</si>
  <si>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</si>
  <si>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</si>
  <si>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</si>
  <si>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</si>
  <si>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</si>
  <si>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</si>
  <si>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</si>
  <si>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</si>
  <si>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</si>
  <si>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</si>
  <si>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</si>
  <si>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</si>
  <si>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</si>
  <si>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</si>
  <si>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</si>
  <si>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</si>
  <si>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</si>
  <si>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</si>
  <si>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</si>
  <si>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</si>
  <si>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</si>
  <si>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</si>
  <si>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</si>
  <si>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</si>
  <si>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</si>
  <si>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</si>
  <si>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</si>
  <si>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</si>
  <si>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</si>
  <si>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</si>
  <si>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</si>
  <si>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</si>
  <si>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</si>
  <si>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</si>
  <si>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</si>
  <si>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</si>
  <si>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</si>
  <si>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</si>
  <si>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</si>
  <si>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</si>
  <si>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</si>
  <si>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</si>
  <si>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</si>
  <si>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</si>
  <si>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</si>
  <si>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</si>
  <si>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</si>
  <si>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</si>
  <si>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</si>
  <si>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</si>
  <si>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</si>
  <si>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</si>
  <si>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</si>
  <si>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</si>
  <si>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</si>
  <si>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</si>
  <si>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</si>
  <si>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</si>
  <si>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</si>
  <si>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</si>
  <si>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</si>
  <si>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</si>
  <si>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</si>
  <si>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</si>
  <si>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</si>
  <si>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</si>
  <si>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</si>
  <si>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</si>
  <si>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</si>
  <si>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</si>
  <si>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</si>
  <si>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</si>
  <si>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</si>
  <si>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</si>
  <si>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</si>
  <si>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</si>
  <si>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</si>
  <si>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</si>
  <si>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</si>
  <si>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</si>
  <si>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</si>
  <si>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</si>
  <si>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</si>
  <si>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</si>
  <si>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</si>
  <si>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</si>
  <si>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</si>
  <si>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</si>
  <si>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</si>
  <si>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</si>
  <si>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</si>
  <si>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</si>
  <si>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</si>
  <si>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</si>
  <si>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</si>
  <si>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</si>
  <si>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</si>
  <si>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</si>
  <si>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</si>
  <si>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</si>
  <si>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</si>
  <si>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</si>
  <si>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</si>
  <si>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</si>
  <si>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</si>
  <si>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</si>
  <si>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</si>
  <si>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</si>
  <si>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</si>
  <si>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</si>
  <si>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</si>
  <si>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</si>
  <si>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</si>
  <si>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</si>
  <si>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</si>
  <si>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</si>
  <si>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</si>
  <si>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</si>
  <si>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</si>
  <si>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</si>
  <si>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</si>
  <si>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</si>
  <si>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</si>
  <si>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</si>
  <si>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</si>
  <si>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</si>
  <si>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</si>
  <si>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</si>
  <si>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</si>
  <si>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</si>
  <si>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</si>
  <si>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</si>
  <si>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</si>
  <si>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</si>
  <si>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</si>
  <si>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</si>
  <si>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</si>
  <si>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</si>
  <si>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</si>
  <si>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</si>
  <si>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</si>
  <si>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</si>
  <si>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</si>
  <si>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</si>
  <si>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</si>
  <si>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</si>
  <si>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</si>
  <si>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</si>
  <si>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</si>
  <si>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</si>
  <si>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</si>
  <si>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</si>
  <si>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</si>
  <si>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</si>
  <si>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</si>
  <si>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</si>
  <si>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</si>
  <si>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</si>
  <si>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</si>
  <si>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</si>
  <si>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</si>
  <si>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</si>
  <si>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</si>
  <si>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</si>
  <si>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</si>
  <si>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</si>
  <si>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</si>
  <si>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</si>
  <si>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</si>
  <si>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</si>
  <si>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</si>
  <si>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</si>
  <si>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</si>
  <si>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</si>
  <si>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</si>
  <si>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</si>
  <si>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</si>
  <si>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</si>
  <si>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</si>
  <si>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</si>
  <si>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</si>
  <si>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</si>
  <si>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</si>
  <si>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</si>
  <si>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</si>
  <si>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</si>
  <si>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</si>
  <si>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</si>
  <si>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</si>
  <si>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</si>
  <si>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</si>
  <si>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</si>
  <si>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</si>
  <si>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</si>
  <si>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</si>
  <si>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</si>
  <si>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</si>
  <si>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</si>
  <si>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</si>
  <si>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</si>
  <si>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</si>
  <si>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</si>
  <si>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</si>
  <si>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</si>
  <si>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</si>
  <si>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</si>
  <si>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</si>
  <si>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</si>
  <si>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</si>
  <si>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</si>
  <si>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</si>
  <si>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</si>
  <si>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</si>
  <si>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</si>
  <si>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</si>
  <si>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</si>
  <si>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</si>
  <si>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</si>
  <si>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</si>
  <si>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</si>
  <si>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</si>
  <si>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</si>
  <si>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</si>
  <si>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</si>
  <si>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</si>
  <si>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</si>
  <si>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</si>
  <si>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</si>
  <si>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</si>
  <si>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</si>
  <si>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</si>
  <si>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</si>
  <si>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</si>
  <si>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</si>
  <si>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</si>
  <si>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</si>
  <si>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</si>
  <si>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</si>
  <si>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</si>
  <si>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</si>
  <si>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</si>
  <si>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</si>
  <si>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</si>
  <si>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</si>
  <si>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</si>
  <si>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</si>
  <si>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</si>
  <si>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</si>
  <si>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</si>
  <si>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</si>
  <si>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</si>
  <si>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</si>
  <si>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</si>
  <si>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</si>
  <si>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</si>
  <si>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</si>
  <si>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</si>
  <si>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</si>
  <si>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</si>
  <si>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</si>
  <si>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</si>
  <si>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</si>
  <si>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</si>
  <si>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</si>
  <si>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</si>
  <si>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</si>
  <si>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</si>
  <si>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</si>
  <si>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</si>
  <si>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</si>
  <si>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</si>
  <si>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</si>
  <si>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</si>
  <si>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</si>
  <si>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</si>
  <si>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</si>
  <si>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</si>
  <si>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</si>
  <si>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</si>
  <si>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</si>
  <si>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</si>
  <si>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</si>
  <si>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</si>
  <si>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</si>
  <si>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</si>
  <si>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</si>
  <si>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</si>
  <si>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</si>
  <si>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</si>
  <si>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</si>
  <si>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</si>
  <si>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</si>
  <si>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</si>
  <si>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</si>
  <si>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</si>
  <si>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</si>
  <si>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</si>
  <si>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</si>
  <si>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</si>
  <si>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</si>
  <si>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</si>
  <si>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</si>
  <si>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</si>
  <si>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</si>
  <si>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</si>
  <si>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</si>
  <si>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</si>
  <si>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</si>
  <si>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</si>
  <si>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</si>
  <si>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</si>
  <si>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</si>
  <si>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</si>
  <si>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</si>
  <si>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</si>
  <si>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</si>
  <si>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</si>
  <si>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</si>
  <si>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</si>
  <si>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</si>
  <si>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</si>
  <si>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</si>
  <si>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</si>
  <si>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</si>
  <si>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</si>
  <si>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</si>
  <si>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</si>
  <si>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</si>
  <si>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</si>
  <si>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</si>
  <si>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</si>
  <si>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</si>
  <si>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</si>
  <si>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</si>
  <si>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</si>
  <si>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</si>
  <si>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</si>
  <si>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</si>
  <si>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</si>
  <si>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</si>
  <si>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</si>
  <si>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</si>
  <si>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</si>
  <si>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</si>
  <si>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</si>
  <si>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</si>
  <si>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</si>
  <si>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</si>
  <si>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</si>
  <si>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</si>
  <si>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</si>
  <si>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</si>
  <si>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</si>
  <si>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</si>
  <si>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</si>
  <si>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</si>
  <si>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</si>
  <si>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</si>
  <si>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</si>
  <si>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</si>
  <si>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</si>
  <si>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</si>
  <si>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</si>
  <si>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</si>
  <si>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</si>
  <si>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</si>
  <si>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</si>
  <si>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</si>
  <si>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</si>
  <si>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</si>
  <si>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</si>
  <si>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</si>
  <si>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</si>
  <si>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</si>
  <si>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</si>
  <si>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</si>
  <si>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</si>
  <si>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</si>
  <si>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</si>
  <si>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</si>
  <si>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</si>
  <si>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</si>
  <si>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</si>
  <si>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</si>
  <si>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</si>
  <si>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</si>
  <si>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</si>
  <si>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</si>
  <si>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</si>
  <si>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</si>
  <si>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</si>
  <si>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</si>
  <si>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</si>
  <si>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</si>
  <si>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</si>
  <si>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</si>
  <si>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</si>
  <si>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</si>
  <si>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</si>
  <si>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</si>
  <si>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</si>
  <si>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</si>
  <si>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</si>
  <si>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</si>
  <si>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</si>
  <si>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</si>
  <si>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</si>
  <si>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</si>
  <si>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</si>
  <si>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</si>
  <si>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</si>
  <si>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</si>
  <si>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</si>
  <si>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</si>
  <si>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</si>
  <si>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</si>
  <si>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</si>
  <si>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</si>
  <si>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</si>
  <si>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</si>
  <si>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</si>
  <si>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</si>
  <si>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</si>
  <si>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</si>
  <si>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</si>
  <si>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</si>
  <si>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</si>
  <si>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</si>
  <si>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</si>
  <si>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</si>
  <si>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</si>
  <si>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</si>
  <si>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</si>
  <si>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</si>
  <si>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</si>
  <si>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</si>
  <si>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</si>
  <si>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</si>
  <si>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</si>
  <si>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</si>
  <si>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</si>
  <si>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</si>
  <si>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</si>
  <si>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</si>
  <si>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</si>
  <si>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</si>
  <si>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</si>
  <si>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</si>
  <si>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</si>
  <si>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</si>
  <si>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</si>
  <si>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</si>
  <si>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</si>
  <si>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</si>
  <si>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</si>
  <si>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</si>
  <si>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</si>
  <si>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</si>
  <si>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</si>
  <si>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</si>
  <si>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</si>
  <si>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</si>
  <si>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</si>
  <si>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</si>
  <si>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</si>
  <si>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</si>
  <si>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</si>
  <si>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</si>
  <si>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</si>
  <si>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</si>
  <si>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</si>
  <si>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</si>
  <si>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</si>
  <si>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</si>
  <si>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</si>
  <si>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</si>
  <si>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</si>
  <si>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</si>
  <si>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</si>
  <si>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</si>
  <si>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</si>
  <si>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</si>
  <si>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</si>
  <si>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</si>
  <si>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</si>
  <si>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</si>
  <si>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</si>
  <si>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</si>
  <si>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</si>
  <si>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</si>
  <si>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</si>
  <si>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</si>
  <si>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</si>
  <si>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</si>
  <si>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</si>
  <si>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</si>
  <si>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</si>
  <si>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</si>
  <si>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</si>
  <si>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</si>
  <si>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</si>
  <si>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</si>
  <si>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</si>
  <si>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</si>
  <si>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</si>
  <si>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</si>
  <si>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</si>
  <si>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</si>
  <si>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</si>
  <si>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</si>
  <si>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</si>
  <si>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</si>
  <si>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</si>
  <si>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</si>
  <si>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</si>
  <si>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</si>
  <si>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</si>
  <si>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</si>
  <si>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</si>
  <si>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</si>
  <si>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</si>
  <si>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</si>
  <si>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</si>
  <si>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</si>
  <si>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</si>
  <si>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</si>
  <si>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</si>
  <si>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</si>
  <si>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</si>
  <si>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</si>
  <si>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</si>
  <si>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</si>
  <si>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</si>
  <si>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</si>
  <si>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</si>
  <si>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</si>
  <si>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</si>
  <si>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</si>
  <si>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</si>
  <si>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</si>
  <si>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</si>
  <si>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</si>
  <si>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</si>
  <si>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</si>
  <si>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</si>
  <si>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</si>
  <si>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</si>
  <si>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</si>
  <si>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</si>
  <si>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</si>
  <si>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</si>
  <si>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</si>
  <si>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</si>
  <si>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</si>
  <si>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</si>
  <si>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</si>
  <si>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</si>
  <si>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</si>
  <si>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</si>
  <si>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</si>
  <si>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</si>
  <si>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</si>
  <si>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</si>
  <si>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</si>
  <si>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</si>
  <si>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</si>
  <si>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</si>
  <si>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</si>
  <si>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</si>
  <si>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</si>
  <si>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</si>
  <si>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</si>
  <si>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</si>
  <si>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</si>
  <si>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</si>
  <si>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</si>
  <si>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</si>
  <si>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</si>
  <si>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</si>
  <si>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</si>
  <si>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</si>
  <si>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</si>
  <si>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</si>
  <si>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</si>
  <si>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</si>
  <si>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</si>
  <si>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</si>
  <si>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</si>
  <si>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</si>
  <si>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</si>
  <si>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</si>
  <si>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</si>
  <si>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</si>
  <si>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</si>
  <si>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</si>
  <si>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</si>
  <si>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</si>
  <si>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</si>
  <si>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</si>
  <si>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</si>
  <si>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</si>
  <si>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</si>
  <si>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</si>
  <si>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</si>
  <si>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</si>
  <si>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</si>
  <si>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</si>
  <si>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</si>
  <si>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</si>
  <si>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</si>
  <si>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</si>
  <si>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</si>
  <si>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</si>
  <si>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</si>
  <si>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</si>
  <si>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</si>
  <si>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</si>
  <si>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</si>
  <si>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</si>
  <si>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</si>
  <si>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</si>
  <si>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</si>
  <si>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</si>
  <si>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</si>
  <si>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</si>
  <si>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</si>
  <si>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</si>
  <si>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</si>
  <si>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</si>
  <si>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</si>
  <si>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</si>
  <si>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</si>
  <si>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</si>
  <si>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</si>
  <si>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</si>
  <si>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</si>
  <si>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</si>
  <si>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</si>
  <si>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</si>
  <si>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</si>
  <si>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</si>
  <si>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</si>
  <si>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</si>
  <si>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</si>
  <si>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</si>
  <si>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</si>
  <si>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</si>
  <si>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</si>
  <si>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</si>
  <si>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</si>
  <si>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</si>
  <si>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</si>
  <si>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</si>
  <si>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</si>
  <si>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</si>
  <si>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</si>
  <si>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</si>
  <si>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</si>
  <si>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</si>
  <si>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</si>
  <si>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</si>
  <si>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</si>
  <si>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</si>
  <si>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</si>
  <si>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</si>
  <si>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</si>
  <si>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</si>
  <si>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</si>
  <si>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</si>
  <si>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</si>
  <si>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</si>
  <si>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</si>
  <si>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</si>
  <si>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</si>
  <si>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</si>
  <si>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</si>
  <si>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</si>
  <si>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</si>
  <si>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</si>
  <si>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</si>
  <si>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</si>
  <si>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</si>
  <si>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</si>
  <si>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</si>
  <si>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</si>
  <si>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</si>
  <si>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</si>
  <si>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</si>
  <si>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</si>
  <si>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</si>
  <si>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</si>
  <si>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</si>
  <si>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</si>
  <si>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</si>
  <si>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</si>
  <si>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</si>
  <si>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</si>
  <si>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</si>
  <si>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</si>
  <si>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</si>
  <si>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</si>
  <si>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</si>
  <si>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</si>
  <si>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</si>
  <si>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</si>
  <si>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</si>
  <si>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</si>
  <si>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</si>
  <si>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</si>
  <si>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</si>
  <si>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</si>
  <si>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</si>
  <si>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</si>
  <si>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</si>
  <si>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</si>
  <si>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</si>
  <si>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</si>
  <si>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</si>
  <si>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</si>
  <si>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</si>
  <si>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</si>
  <si>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</si>
  <si>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</si>
  <si>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</si>
  <si>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</si>
  <si>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</si>
  <si>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</si>
  <si>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</si>
  <si>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</si>
  <si>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</si>
  <si>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</si>
  <si>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</si>
  <si>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</si>
  <si>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</si>
  <si>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</si>
  <si>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</si>
  <si>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</si>
  <si>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</si>
  <si>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</si>
  <si>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</si>
  <si>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</si>
  <si>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</si>
  <si>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</si>
  <si>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</si>
  <si>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</si>
  <si>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</si>
  <si>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</si>
  <si>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</si>
  <si>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</si>
  <si>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</si>
  <si>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</si>
  <si>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</si>
  <si>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</si>
  <si>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</si>
  <si>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</si>
  <si>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</si>
  <si>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</si>
  <si>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</si>
  <si>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</si>
  <si>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</si>
  <si>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</si>
  <si>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</si>
  <si>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</si>
  <si>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</si>
  <si>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</si>
  <si>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</si>
  <si>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</si>
  <si>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</si>
  <si>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</si>
  <si>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</si>
  <si>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</si>
  <si>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</si>
  <si>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</si>
  <si>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</si>
  <si>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</si>
  <si>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</si>
  <si>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</si>
  <si>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</si>
  <si>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</si>
  <si>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</si>
  <si>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</si>
  <si>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</si>
  <si>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</si>
  <si>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</si>
  <si>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</si>
  <si>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</si>
  <si>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</si>
  <si>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</si>
  <si>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</si>
  <si>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</si>
  <si>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</si>
  <si>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</si>
  <si>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</si>
  <si>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</si>
  <si>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</si>
  <si>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</si>
  <si>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</si>
  <si>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</si>
  <si>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</si>
  <si>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</si>
  <si>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</si>
  <si>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</si>
  <si>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</si>
  <si>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</si>
  <si>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</si>
  <si>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</si>
  <si>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</si>
  <si>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</si>
  <si>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</si>
  <si>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</si>
  <si>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</si>
  <si>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</si>
  <si>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</si>
  <si>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</si>
  <si>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</si>
  <si>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</si>
  <si>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</si>
  <si>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</si>
  <si>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</si>
  <si>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</si>
  <si>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</si>
  <si>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</si>
  <si>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</si>
  <si>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</si>
  <si>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</si>
  <si>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</si>
  <si>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</si>
  <si>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</si>
  <si>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</si>
  <si>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</si>
  <si>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</si>
  <si>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</si>
  <si>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</si>
  <si>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</si>
  <si>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</si>
  <si>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</si>
  <si>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</si>
  <si>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</si>
  <si>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</si>
  <si>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</si>
  <si>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</si>
  <si>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</si>
  <si>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</si>
  <si>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</si>
  <si>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</si>
  <si>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</si>
  <si>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</si>
  <si>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</si>
  <si>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</si>
  <si>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</si>
  <si>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</si>
  <si>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</si>
  <si>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</si>
  <si>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</si>
  <si>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</si>
  <si>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</si>
  <si>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</si>
  <si>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</si>
  <si>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</si>
  <si>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</si>
  <si>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</si>
  <si>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</si>
  <si>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</si>
  <si>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</si>
  <si>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</si>
  <si>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</si>
  <si>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</si>
  <si>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</si>
  <si>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</si>
  <si>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</si>
  <si>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</si>
  <si>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</si>
  <si>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</si>
  <si>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</si>
  <si>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</si>
  <si>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</si>
  <si>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</si>
  <si>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</si>
  <si>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</si>
  <si>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</si>
  <si>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</si>
  <si>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</si>
  <si>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</si>
  <si>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</si>
  <si>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</si>
  <si>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</si>
  <si>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</si>
  <si>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</si>
  <si>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</si>
  <si>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</si>
  <si>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</si>
  <si>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</si>
  <si>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</si>
  <si>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</si>
  <si>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</si>
  <si>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</si>
  <si>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</si>
  <si>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</si>
  <si>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</si>
  <si>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</si>
  <si>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</si>
  <si>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</si>
  <si>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</si>
  <si>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</si>
  <si>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</si>
  <si>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</si>
  <si>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</si>
  <si>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</si>
  <si>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</si>
  <si>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</si>
  <si>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</si>
  <si>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</si>
  <si>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</si>
  <si>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</si>
  <si>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</si>
  <si>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</si>
  <si>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</si>
  <si>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</si>
  <si>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</si>
  <si>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</si>
  <si>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</si>
  <si>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</si>
  <si>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</si>
  <si>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</si>
  <si>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</si>
  <si>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</si>
  <si>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</si>
  <si>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</si>
  <si>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</si>
  <si>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</si>
  <si>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</si>
  <si>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</si>
  <si>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</si>
  <si>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</si>
  <si>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</si>
  <si>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</si>
  <si>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</si>
  <si>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</si>
  <si>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</si>
  <si>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</si>
  <si>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</si>
  <si>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</si>
  <si>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</si>
  <si>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</si>
  <si>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</si>
  <si>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</si>
  <si>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</si>
  <si>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</si>
  <si>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</si>
  <si>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</si>
  <si>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</si>
  <si>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</si>
  <si>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</si>
  <si>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</si>
  <si>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</si>
  <si>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</si>
  <si>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</si>
  <si>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</si>
  <si>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</si>
  <si>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</si>
  <si>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</si>
  <si>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</si>
  <si>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</si>
  <si>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</si>
  <si>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</si>
  <si>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</si>
  <si>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</si>
  <si>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</si>
  <si>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</si>
  <si>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</si>
  <si>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</si>
  <si>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</si>
  <si>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</si>
  <si>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</si>
  <si>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</si>
  <si>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</si>
  <si>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</si>
  <si>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blanks</t>
  </si>
  <si>
    <t>duplicates</t>
  </si>
  <si>
    <t>Churned</t>
  </si>
  <si>
    <t>Total</t>
  </si>
  <si>
    <t>Retention</t>
  </si>
  <si>
    <t>Churn Rate</t>
  </si>
  <si>
    <t xml:space="preserve">Total Cx </t>
  </si>
  <si>
    <t>total month</t>
  </si>
  <si>
    <t>total year</t>
  </si>
  <si>
    <t>total 2 years</t>
  </si>
  <si>
    <t>Churn by tenure</t>
  </si>
  <si>
    <t>0-12</t>
  </si>
  <si>
    <t>Churn by internet service</t>
  </si>
  <si>
    <t>fibre optic</t>
  </si>
  <si>
    <t>no</t>
  </si>
  <si>
    <t xml:space="preserve">Churn </t>
  </si>
  <si>
    <t>churn by payment method</t>
  </si>
  <si>
    <t>Churn by senior citizen</t>
  </si>
  <si>
    <t>churn by partner</t>
  </si>
  <si>
    <t>Churn by dependents</t>
  </si>
  <si>
    <t>Churn by tech support</t>
  </si>
  <si>
    <t>Churn by online security</t>
  </si>
  <si>
    <t>Churn by monthly charges</t>
  </si>
  <si>
    <t>$30–$60</t>
  </si>
  <si>
    <t>&lt;$30</t>
  </si>
  <si>
    <t>$60–$90</t>
  </si>
  <si>
    <t>&gt;$90</t>
  </si>
  <si>
    <t>churn by online backup</t>
  </si>
  <si>
    <t>churn by device protection</t>
  </si>
  <si>
    <t>churn by streaming Tv</t>
  </si>
  <si>
    <t>Churn by streaming movie</t>
  </si>
  <si>
    <t>churn by contract</t>
  </si>
  <si>
    <t>Churn by paperless bill</t>
  </si>
  <si>
    <t>Churn by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</si>
</sst>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1" applyNumberFormat="1" applyFont="1"/>
    <xf numFmtId="9" fontId="0" fillId="0" borderId="0" xfId="1" applyFont="1"/>
    <xf numFmtId="168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DCC76-F7FC-4822-BD13-32DDA4B6BF1D}">
  <dimension ref="A1:Z7044"/>
  <sheetViews>
    <sheetView tabSelected="1" topLeftCell="K1" zoomScale="90" zoomScaleNormal="90" workbookViewId="0">
      <pane ySplit="1" topLeftCell="A53" activePane="bottomLeft" state="frozen"/>
      <selection pane="bottomLeft" activeCell="V62" sqref="V62"/>
    </sheetView>
  </sheetViews>
  <sheetFormatPr defaultRowHeight="14.4" x14ac:dyDescent="0.3"/>
  <cols>
    <col min="1" max="1" width="13.21875" bestFit="1" customWidth="1"/>
    <col min="2" max="2" width="7" bestFit="1" customWidth="1"/>
    <col min="3" max="3" width="11.5546875" bestFit="1" customWidth="1"/>
    <col min="4" max="4" width="7" bestFit="1" customWidth="1"/>
    <col min="5" max="5" width="10.6640625" bestFit="1" customWidth="1"/>
    <col min="6" max="6" width="9.21875" customWidth="1"/>
    <col min="7" max="7" width="12" bestFit="1" customWidth="1"/>
    <col min="8" max="8" width="14.88671875" bestFit="1" customWidth="1"/>
    <col min="9" max="9" width="13.21875" bestFit="1" customWidth="1"/>
    <col min="10" max="15" width="16.109375" bestFit="1" customWidth="1"/>
    <col min="16" max="16" width="14.109375" bestFit="1" customWidth="1"/>
    <col min="17" max="17" width="13.88671875" bestFit="1" customWidth="1"/>
    <col min="18" max="18" width="21.5546875" bestFit="1" customWidth="1"/>
    <col min="19" max="19" width="14" bestFit="1" customWidth="1"/>
    <col min="20" max="20" width="11.5546875" bestFit="1" customWidth="1"/>
    <col min="21" max="21" width="5.88671875" bestFit="1" customWidth="1"/>
    <col min="22" max="22" width="13.77734375" customWidth="1"/>
    <col min="23" max="23" width="15.109375" customWidth="1"/>
    <col min="24" max="24" width="16.44140625" customWidth="1"/>
    <col min="25" max="25" width="14.5546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5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X2" t="s">
        <v>7079</v>
      </c>
      <c r="Y2" t="s">
        <v>7080</v>
      </c>
    </row>
    <row r="3" spans="1:25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W3" t="s">
        <v>0</v>
      </c>
      <c r="X3">
        <f>COUNTBLANK(A$2:A$7044)</f>
        <v>0</v>
      </c>
      <c r="Y3">
        <f>COUNTIF($A$2:$A$7044,A2)</f>
        <v>1</v>
      </c>
    </row>
    <row r="4" spans="1:25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W4" t="s">
        <v>1</v>
      </c>
      <c r="X4">
        <f t="shared" ref="X4:X23" si="0">COUNTBLANK(A$2:A$7044)</f>
        <v>0</v>
      </c>
      <c r="Y4">
        <f t="shared" ref="Y4:Y23" si="1">COUNTIF($A$2:$A$7044,A3)</f>
        <v>1</v>
      </c>
    </row>
    <row r="5" spans="1:25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W5" t="s">
        <v>2</v>
      </c>
      <c r="X5">
        <f t="shared" si="0"/>
        <v>0</v>
      </c>
      <c r="Y5">
        <f t="shared" si="1"/>
        <v>1</v>
      </c>
    </row>
    <row r="6" spans="1:25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W6" t="s">
        <v>3</v>
      </c>
      <c r="X6">
        <f t="shared" si="0"/>
        <v>0</v>
      </c>
      <c r="Y6">
        <f t="shared" si="1"/>
        <v>1</v>
      </c>
    </row>
    <row r="7" spans="1:25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W7" t="s">
        <v>4</v>
      </c>
      <c r="X7">
        <f t="shared" si="0"/>
        <v>0</v>
      </c>
      <c r="Y7">
        <f t="shared" si="1"/>
        <v>1</v>
      </c>
    </row>
    <row r="8" spans="1:25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W8" t="s">
        <v>5</v>
      </c>
      <c r="X8">
        <f t="shared" si="0"/>
        <v>0</v>
      </c>
      <c r="Y8">
        <f t="shared" si="1"/>
        <v>1</v>
      </c>
    </row>
    <row r="9" spans="1:25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W9" t="s">
        <v>6</v>
      </c>
      <c r="X9">
        <f t="shared" si="0"/>
        <v>0</v>
      </c>
      <c r="Y9">
        <f t="shared" si="1"/>
        <v>1</v>
      </c>
    </row>
    <row r="10" spans="1:25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W10" t="s">
        <v>7</v>
      </c>
      <c r="X10">
        <f t="shared" si="0"/>
        <v>0</v>
      </c>
      <c r="Y10">
        <f t="shared" si="1"/>
        <v>1</v>
      </c>
    </row>
    <row r="11" spans="1:25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W11" t="s">
        <v>8</v>
      </c>
      <c r="X11">
        <f t="shared" si="0"/>
        <v>0</v>
      </c>
      <c r="Y11">
        <f t="shared" si="1"/>
        <v>1</v>
      </c>
    </row>
    <row r="12" spans="1:25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W12" t="s">
        <v>9</v>
      </c>
      <c r="X12">
        <f t="shared" si="0"/>
        <v>0</v>
      </c>
      <c r="Y12">
        <f t="shared" si="1"/>
        <v>1</v>
      </c>
    </row>
    <row r="13" spans="1:25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W13" t="s">
        <v>10</v>
      </c>
      <c r="X13">
        <f t="shared" si="0"/>
        <v>0</v>
      </c>
      <c r="Y13">
        <f t="shared" si="1"/>
        <v>1</v>
      </c>
    </row>
    <row r="14" spans="1:25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W14" t="s">
        <v>11</v>
      </c>
      <c r="X14">
        <f t="shared" si="0"/>
        <v>0</v>
      </c>
      <c r="Y14">
        <f t="shared" si="1"/>
        <v>1</v>
      </c>
    </row>
    <row r="15" spans="1:25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W15" t="s">
        <v>12</v>
      </c>
      <c r="X15">
        <f t="shared" si="0"/>
        <v>0</v>
      </c>
      <c r="Y15">
        <f t="shared" si="1"/>
        <v>1</v>
      </c>
    </row>
    <row r="16" spans="1:25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W16" t="s">
        <v>13</v>
      </c>
      <c r="X16">
        <f t="shared" si="0"/>
        <v>0</v>
      </c>
      <c r="Y16">
        <f t="shared" si="1"/>
        <v>1</v>
      </c>
    </row>
    <row r="17" spans="1:26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W17" t="s">
        <v>14</v>
      </c>
      <c r="X17">
        <f t="shared" si="0"/>
        <v>0</v>
      </c>
      <c r="Y17">
        <f t="shared" si="1"/>
        <v>1</v>
      </c>
    </row>
    <row r="18" spans="1:26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W18" t="s">
        <v>15</v>
      </c>
      <c r="X18">
        <f t="shared" si="0"/>
        <v>0</v>
      </c>
      <c r="Y18">
        <f t="shared" si="1"/>
        <v>1</v>
      </c>
    </row>
    <row r="19" spans="1:26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W19" t="s">
        <v>16</v>
      </c>
      <c r="X19">
        <f t="shared" si="0"/>
        <v>0</v>
      </c>
      <c r="Y19">
        <f t="shared" si="1"/>
        <v>1</v>
      </c>
    </row>
    <row r="20" spans="1:26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W20" t="s">
        <v>17</v>
      </c>
      <c r="X20">
        <f t="shared" si="0"/>
        <v>0</v>
      </c>
      <c r="Y20">
        <f t="shared" si="1"/>
        <v>1</v>
      </c>
    </row>
    <row r="21" spans="1:26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W21" t="s">
        <v>18</v>
      </c>
      <c r="X21">
        <f t="shared" si="0"/>
        <v>0</v>
      </c>
      <c r="Y21">
        <f t="shared" si="1"/>
        <v>1</v>
      </c>
    </row>
    <row r="22" spans="1:26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W22" t="s">
        <v>19</v>
      </c>
      <c r="X22">
        <f t="shared" si="0"/>
        <v>0</v>
      </c>
      <c r="Y22">
        <f t="shared" si="1"/>
        <v>1</v>
      </c>
    </row>
    <row r="23" spans="1:26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W23" t="s">
        <v>20</v>
      </c>
      <c r="X23">
        <f t="shared" si="0"/>
        <v>0</v>
      </c>
      <c r="Y23">
        <f t="shared" si="1"/>
        <v>1</v>
      </c>
    </row>
    <row r="24" spans="1:26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6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W25">
        <f>COUNT(C2:C7044)</f>
        <v>7043</v>
      </c>
      <c r="X25" t="s">
        <v>7082</v>
      </c>
      <c r="Y25">
        <f>COUNTIFS(F2:F7044,"&gt;=0",F2:F7044,"&lt;=12")</f>
        <v>2186</v>
      </c>
      <c r="Z25" s="1">
        <f>1037/2186</f>
        <v>0.47438243366880145</v>
      </c>
    </row>
    <row r="26" spans="1:26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W26">
        <f>COUNTIF(T2:T7044,"&lt;0")</f>
        <v>0</v>
      </c>
      <c r="Y26">
        <f>COUNTIFS(F2:F7044,"&gt;=0", F2:F7044,"&lt;=12",U2:U7044,"Yes")</f>
        <v>1037</v>
      </c>
    </row>
    <row r="27" spans="1:26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W27">
        <f>COUNTIF(T2:T7044,"&lt;0")</f>
        <v>0</v>
      </c>
    </row>
    <row r="28" spans="1:26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W28">
        <f>W32</f>
        <v>0</v>
      </c>
      <c r="X28" t="s">
        <v>7081</v>
      </c>
      <c r="Y28">
        <f>COUNTIFS(F2:F7044,"&gt;=13",F2:F7044,"&lt;=24")</f>
        <v>1024</v>
      </c>
      <c r="Z28" s="1">
        <f>294/1024</f>
        <v>0.287109375</v>
      </c>
    </row>
    <row r="29" spans="1:26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W29">
        <f>COUNTIF(U11:U7044,"No")</f>
        <v>5169</v>
      </c>
      <c r="X29" t="s">
        <v>7083</v>
      </c>
      <c r="Y29">
        <f>COUNTIFS(F2:F7044,"&gt;=13",F2:F7044,"&lt;=24",U2:U7044,"Yes")</f>
        <v>294</v>
      </c>
    </row>
    <row r="30" spans="1:26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W30" s="1">
        <f>W28/W25</f>
        <v>0</v>
      </c>
      <c r="X30" t="s">
        <v>7084</v>
      </c>
    </row>
    <row r="31" spans="1:26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W31">
        <f>COUNTA(A2:A7044)</f>
        <v>7043</v>
      </c>
      <c r="X31" t="s">
        <v>7085</v>
      </c>
      <c r="Y31">
        <f>COUNTIFS(F2:F7044,"&gt;=25",F2:F7044,"&lt;=48")</f>
        <v>1594</v>
      </c>
      <c r="Z31" s="1">
        <f>325/1594</f>
        <v>0.20388958594730239</v>
      </c>
    </row>
    <row r="32" spans="1:26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 s="1">
        <f>W32/W39</f>
        <v>0</v>
      </c>
      <c r="Y32">
        <f>COUNTIFS(F2:F7044,"&gt;=25",F2:F7044,"&lt;=48",U2:U7044,"Yes")</f>
        <v>325</v>
      </c>
    </row>
    <row r="33" spans="1:26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6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 s="1">
        <f>W34/W41</f>
        <v>0.11269517990495587</v>
      </c>
      <c r="W34">
        <f>COUNTIFS(P2:P7044, "One year",U2:U7044,"Yes")</f>
        <v>166</v>
      </c>
      <c r="Y34">
        <f>COUNTIFS(F2:F7044,"&gt;=49",F2:F7044,"&lt;=72")</f>
        <v>2239</v>
      </c>
      <c r="Z34" s="1">
        <f>Y35/Y34</f>
        <v>9.5131755247878522E-2</v>
      </c>
    </row>
    <row r="35" spans="1:26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Y35">
        <f>COUNTIFS(F2:F7044,"&gt;=49",F2:F7044,"&lt;=72",U2:U7044,"Yes")</f>
        <v>213</v>
      </c>
    </row>
    <row r="36" spans="1:26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 s="1">
        <f>W36/W43</f>
        <v>2.831858407079646E-2</v>
      </c>
      <c r="W36">
        <f>COUNTIFS(P2:P7044,"Two year",U2:U7044,"Yes")</f>
        <v>48</v>
      </c>
    </row>
    <row r="37" spans="1:26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 s="1"/>
    </row>
    <row r="38" spans="1:26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6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W39">
        <f>COUNTIF(P2:P7044,"Month-to-month")</f>
        <v>3875</v>
      </c>
      <c r="X39" t="s">
        <v>7086</v>
      </c>
    </row>
    <row r="40" spans="1:26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6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W41">
        <f>COUNTIF(P2:P7044,"One year")</f>
        <v>1473</v>
      </c>
      <c r="X41" t="s">
        <v>7087</v>
      </c>
    </row>
    <row r="42" spans="1:26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6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W43">
        <f>COUNTIF(P2:P7044,"Two year")</f>
        <v>1695</v>
      </c>
      <c r="X43" t="s">
        <v>7088</v>
      </c>
    </row>
    <row r="44" spans="1:26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6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X45" t="s">
        <v>7082</v>
      </c>
    </row>
    <row r="46" spans="1:26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W46" t="s">
        <v>7089</v>
      </c>
      <c r="X46" t="s">
        <v>7090</v>
      </c>
      <c r="Y46" t="s">
        <v>20</v>
      </c>
    </row>
    <row r="47" spans="1:26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X47">
        <v>2186</v>
      </c>
    </row>
    <row r="48" spans="1:26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6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6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W50" t="s">
        <v>7091</v>
      </c>
    </row>
    <row r="51" spans="1:26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Y51" t="s">
        <v>7094</v>
      </c>
    </row>
    <row r="52" spans="1:26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W52">
        <f>COUNTIF(I2:I7044,"Fiber optic")</f>
        <v>3096</v>
      </c>
      <c r="X52" t="s">
        <v>7092</v>
      </c>
      <c r="Y52">
        <f>COUNTIFS(I2:I7044,"Fiber optic",U2:U7044,"Yes")</f>
        <v>1297</v>
      </c>
      <c r="Z52" s="1">
        <f>Y52/W52</f>
        <v>0.41892764857881137</v>
      </c>
    </row>
    <row r="53" spans="1:26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W53">
        <f>COUNTIF(I2:I7044,"DSL")</f>
        <v>2421</v>
      </c>
      <c r="X53" t="s">
        <v>26</v>
      </c>
      <c r="Y53">
        <f>COUNTIFS(I2:I7044,"DSL",U2:U7044,"Yes")</f>
        <v>459</v>
      </c>
      <c r="Z53" s="1">
        <f>Y53/W53</f>
        <v>0.1895910780669145</v>
      </c>
    </row>
    <row r="54" spans="1:26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W54">
        <f>COUNTIF(I2:I7044,"No")</f>
        <v>1526</v>
      </c>
      <c r="X54" t="s">
        <v>7093</v>
      </c>
      <c r="Y54">
        <f>COUNTIFS(I2:I7044,"No",U2:U7044,"Yes")</f>
        <v>113</v>
      </c>
      <c r="Z54" s="1">
        <f>Y54/W54</f>
        <v>7.4049803407601575E-2</v>
      </c>
    </row>
    <row r="55" spans="1:26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6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Y56" t="s">
        <v>7095</v>
      </c>
    </row>
    <row r="57" spans="1:26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6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W58">
        <f>COUNTIF(R2:R7044,"Electronic check")</f>
        <v>2365</v>
      </c>
      <c r="X58" t="s">
        <v>28</v>
      </c>
      <c r="Y58">
        <f>COUNTIFS(R2:R7044,"Electronic check",U2:U7044,"Yes")</f>
        <v>1071</v>
      </c>
      <c r="Z58" s="1">
        <f>Y58/W58</f>
        <v>0.45285412262156449</v>
      </c>
    </row>
    <row r="59" spans="1:26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W59">
        <f>COUNTIF(R2:R7044,"Mailed check")</f>
        <v>1612</v>
      </c>
      <c r="X59" t="s">
        <v>32</v>
      </c>
      <c r="Y59">
        <f>COUNTIFS(R2:R7044,"Mailed check",U2:U7044,"Yes")</f>
        <v>308</v>
      </c>
      <c r="Z59" s="1">
        <f>Y59/W59</f>
        <v>0.19106699751861042</v>
      </c>
    </row>
    <row r="60" spans="1:26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W60">
        <f>COUNTIF(R2:R7044,"Credit card (automatic)")</f>
        <v>1522</v>
      </c>
      <c r="X60" t="s">
        <v>40</v>
      </c>
      <c r="Y60">
        <f>COUNTIFS(R2:R7044,"Credit card (automatic)",U2:U7044,"Yes")</f>
        <v>232</v>
      </c>
      <c r="Z60" s="1">
        <f>Y60/W60</f>
        <v>0.15243101182654403</v>
      </c>
    </row>
    <row r="61" spans="1:26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W61">
        <f>COUNTIF(R2:R7044,"Bank transfer (automatic)")</f>
        <v>1544</v>
      </c>
      <c r="X61" t="s">
        <v>35</v>
      </c>
      <c r="Y61">
        <f>COUNTIFS(R2:R7044,"Bank transfer (automatic)",U2:U7044,"Yes")</f>
        <v>258</v>
      </c>
      <c r="Z61" s="3">
        <f>Y61/W61</f>
        <v>0.16709844559585493</v>
      </c>
    </row>
    <row r="62" spans="1:26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6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6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Y64" t="s">
        <v>7096</v>
      </c>
    </row>
    <row r="65" spans="1:26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W65">
        <f>COUNTIF(C2:C7044,0)</f>
        <v>5901</v>
      </c>
      <c r="X65">
        <v>0</v>
      </c>
      <c r="Y65">
        <f>COUNTIFS(C2:C7044,0,U2:U7044,"Yes")</f>
        <v>1393</v>
      </c>
      <c r="Z65" s="1">
        <f>Y65/W65</f>
        <v>0.23606168446026096</v>
      </c>
    </row>
    <row r="66" spans="1:26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W66">
        <f>COUNTIF(C2:C7044,1)</f>
        <v>1142</v>
      </c>
      <c r="X66">
        <v>1</v>
      </c>
      <c r="Y66">
        <f>COUNTIFS(C2:C7044,1,U2:U7044,"Yes")</f>
        <v>476</v>
      </c>
      <c r="Z66" s="1">
        <f>Y66/W66</f>
        <v>0.41681260945709281</v>
      </c>
    </row>
    <row r="67" spans="1:26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6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Y68" t="s">
        <v>7097</v>
      </c>
    </row>
    <row r="69" spans="1:26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W69">
        <f>COUNTIF(D2:D7044,"No")</f>
        <v>3641</v>
      </c>
      <c r="X69" t="s">
        <v>24</v>
      </c>
      <c r="Y69">
        <f>COUNTIFS(D2:D7044,"No",U2:U7044,"Yes")</f>
        <v>1200</v>
      </c>
      <c r="Z69" s="1">
        <f>Y69/W69</f>
        <v>0.32957978577313923</v>
      </c>
    </row>
    <row r="70" spans="1:26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W70">
        <f>COUNTIF(D2:D7044,"Yes")</f>
        <v>3402</v>
      </c>
      <c r="X70" t="s">
        <v>23</v>
      </c>
      <c r="Y70">
        <f>COUNTIFS(D2:D7044,"Yes",U2:U7044,"Yes")</f>
        <v>669</v>
      </c>
      <c r="Z70" s="1">
        <f>Y70/W70</f>
        <v>0.1966490299823633</v>
      </c>
    </row>
    <row r="71" spans="1:26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Z71" s="2"/>
    </row>
    <row r="72" spans="1:26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Y72" t="s">
        <v>7098</v>
      </c>
    </row>
    <row r="73" spans="1:26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W73">
        <f>COUNTIF(E2:E7044,"Yes")</f>
        <v>2110</v>
      </c>
      <c r="X73" t="s">
        <v>23</v>
      </c>
      <c r="Y73">
        <f>COUNTIFS(E2:E7044,"Yes",U2:U7044,"Yes")</f>
        <v>326</v>
      </c>
      <c r="Z73" s="1">
        <f>Y73/W73</f>
        <v>0.15450236966824646</v>
      </c>
    </row>
    <row r="74" spans="1:26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W74">
        <f>COUNTIF(E2:E7044,"No")</f>
        <v>4933</v>
      </c>
      <c r="X74" t="s">
        <v>24</v>
      </c>
      <c r="Y74">
        <f>COUNTIFS(E2:E7044,"No",U2:U7044,"Yes")</f>
        <v>1543</v>
      </c>
      <c r="Z74" s="1">
        <f>Y74/W74</f>
        <v>0.31279140482465029</v>
      </c>
    </row>
    <row r="75" spans="1:26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6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Y76" t="s">
        <v>7099</v>
      </c>
    </row>
    <row r="77" spans="1:26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W77">
        <f>COUNTIF(M2:M7044,"Yes")</f>
        <v>2044</v>
      </c>
      <c r="X77" t="s">
        <v>23</v>
      </c>
      <c r="Y77">
        <f>COUNTIFS(M2:M7044,"Yes",U2:U7044,"Yes")</f>
        <v>310</v>
      </c>
      <c r="Z77" s="1">
        <f>Y77/W77</f>
        <v>0.15166340508806261</v>
      </c>
    </row>
    <row r="78" spans="1:26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W78">
        <f>COUNTIF(M2:M7044,"No")</f>
        <v>3473</v>
      </c>
      <c r="X78" t="s">
        <v>24</v>
      </c>
      <c r="Y78">
        <f>COUNTIFS(M2:M7044,"No",U2:U7044,"Yes")</f>
        <v>1446</v>
      </c>
      <c r="Z78" s="1">
        <f>Y78/W78</f>
        <v>0.41635473653901528</v>
      </c>
    </row>
    <row r="79" spans="1:26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W79">
        <f>COUNTIF(M2:M7044,"No internet service")</f>
        <v>1526</v>
      </c>
      <c r="X79" t="s">
        <v>46</v>
      </c>
      <c r="Y79">
        <f>COUNTIFS(M2:M7044,"No internet service",U2:U7044,"Yes")</f>
        <v>113</v>
      </c>
      <c r="Z79" s="1">
        <f>Y79/W79</f>
        <v>7.4049803407601575E-2</v>
      </c>
    </row>
    <row r="80" spans="1:26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6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Y81" t="s">
        <v>7100</v>
      </c>
    </row>
    <row r="82" spans="1:26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W82">
        <f>COUNTIF(J2:J7044,"Yes")</f>
        <v>2019</v>
      </c>
      <c r="X82" t="s">
        <v>23</v>
      </c>
      <c r="Y82">
        <f>COUNTIFS(J2:J7044,"Yes",U2:U7044,"Yes")</f>
        <v>295</v>
      </c>
      <c r="Z82" s="1">
        <f>Y82/W82</f>
        <v>0.14611193660227836</v>
      </c>
    </row>
    <row r="83" spans="1:26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W83">
        <f>COUNTIF(J2:J7044,"No")</f>
        <v>3498</v>
      </c>
      <c r="X83" t="s">
        <v>24</v>
      </c>
      <c r="Y83">
        <f>COUNTIFS(J2:J7044,"No",U2:U7044,"Yes")</f>
        <v>1461</v>
      </c>
      <c r="Z83" s="1">
        <f>Y83/W83</f>
        <v>0.41766723842195541</v>
      </c>
    </row>
    <row r="84" spans="1:26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W84">
        <f>COUNTIF(J2:J7044,"No internet service")</f>
        <v>1526</v>
      </c>
      <c r="X84" t="s">
        <v>46</v>
      </c>
      <c r="Y84">
        <f>COUNTIFS(J2:J7044,"No internet service",U2:U7044,"Yes")</f>
        <v>113</v>
      </c>
      <c r="Z84" s="1">
        <f>Y84/W84</f>
        <v>7.4049803407601575E-2</v>
      </c>
    </row>
    <row r="85" spans="1:26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6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Y86" t="s">
        <v>7101</v>
      </c>
    </row>
    <row r="87" spans="1:26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W87">
        <f>COUNTIF(S2:S7044,"&lt;30")</f>
        <v>1653</v>
      </c>
      <c r="X87" t="s">
        <v>7103</v>
      </c>
      <c r="Y87">
        <f>COUNTIFS(S2:S7044,"&lt;30",U2:U7044,"Yes")</f>
        <v>162</v>
      </c>
      <c r="Z87" s="1">
        <f>Y87/W87</f>
        <v>9.8003629764065334E-2</v>
      </c>
    </row>
    <row r="88" spans="1:26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W88">
        <f>COUNTIFS(S2:S7044,"&gt;=30",S2:S7044,"&lt;60")</f>
        <v>1254</v>
      </c>
      <c r="X88" t="s">
        <v>7102</v>
      </c>
      <c r="Y88">
        <f>COUNTIFS(S2:S7044,"&gt;=30",S2:S7044,"&lt;60",U2:U7044,"Yes")</f>
        <v>327</v>
      </c>
      <c r="Z88" s="1">
        <f>Y88/W88</f>
        <v>0.26076555023923442</v>
      </c>
    </row>
    <row r="89" spans="1:26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W89">
        <f>COUNTIFS(S2:S7044,"&gt;=60",S2:S7044,"&lt;=90")</f>
        <v>2397</v>
      </c>
      <c r="X89" t="s">
        <v>7104</v>
      </c>
      <c r="Y89">
        <f>COUNTIFS(S2:S7044,"&gt;=60",S2:S7044,"&lt;=90",U2:U7044,"Yes")</f>
        <v>810</v>
      </c>
      <c r="Z89" s="1">
        <f>Y89/W89</f>
        <v>0.3379224030037547</v>
      </c>
    </row>
    <row r="90" spans="1:26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W90">
        <f>COUNTIF(S2:S7044,"&gt;90")</f>
        <v>1739</v>
      </c>
      <c r="X90" t="s">
        <v>7105</v>
      </c>
      <c r="Y90">
        <f>COUNTIFS(S2:S7044,"&gt;90",U2:U7044,"Yes")</f>
        <v>570</v>
      </c>
      <c r="Z90" s="1">
        <f>Y90/W90</f>
        <v>0.32777458309373203</v>
      </c>
    </row>
    <row r="91" spans="1:26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6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Y92" t="s">
        <v>7106</v>
      </c>
    </row>
    <row r="93" spans="1:26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W93">
        <f>COUNTIF(K2:K7044,"Yes")</f>
        <v>2429</v>
      </c>
      <c r="X93" t="s">
        <v>23</v>
      </c>
      <c r="Y93">
        <f>COUNTIFS(K2:K7044,"Yes",U2:U7044,"Yes")</f>
        <v>523</v>
      </c>
      <c r="Z93" s="1">
        <f>Y93/W93</f>
        <v>0.21531494442157267</v>
      </c>
    </row>
    <row r="94" spans="1:26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W94">
        <f>COUNTIF(K2:K7044,"No")</f>
        <v>3088</v>
      </c>
      <c r="X94" t="s">
        <v>24</v>
      </c>
      <c r="Y94">
        <f>COUNTIFS(K2:K7044,"No",U2:U7044,"Yes")</f>
        <v>1233</v>
      </c>
      <c r="Z94" s="1">
        <f>Y94/W94</f>
        <v>0.39928756476683935</v>
      </c>
    </row>
    <row r="95" spans="1:26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W95">
        <f>COUNTIF(K2:K7044,"No internet service")</f>
        <v>1526</v>
      </c>
      <c r="X95" t="s">
        <v>46</v>
      </c>
      <c r="Y95">
        <f>COUNTIFS(K2:K7044,"No internet service",U2:U7044,"Yes")</f>
        <v>113</v>
      </c>
      <c r="Z95" s="1">
        <f>Y95/W95</f>
        <v>7.4049803407601575E-2</v>
      </c>
    </row>
    <row r="96" spans="1:26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6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Y97" t="s">
        <v>7107</v>
      </c>
    </row>
    <row r="98" spans="1:26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W98">
        <f>COUNTIF(L2:L7044,"Yes")</f>
        <v>2422</v>
      </c>
      <c r="X98" t="s">
        <v>23</v>
      </c>
      <c r="Y98">
        <f>COUNTIFS(L2:L7044,"Yes",U2:U7044,"Yes")</f>
        <v>545</v>
      </c>
      <c r="Z98" s="3">
        <f>Y98/W98</f>
        <v>0.22502064409578859</v>
      </c>
    </row>
    <row r="99" spans="1:26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W99">
        <f>COUNTIF(L2:L7044,"No")</f>
        <v>3095</v>
      </c>
      <c r="X99" t="s">
        <v>24</v>
      </c>
      <c r="Y99">
        <f>COUNTIFS(L2:L7044,"No",U2:U7044,"Yes")</f>
        <v>1211</v>
      </c>
      <c r="Z99" s="3">
        <f>Y99/W99</f>
        <v>0.39127625201938609</v>
      </c>
    </row>
    <row r="100" spans="1:26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W100">
        <f>COUNTIF(L2:L7044,"No internet service")</f>
        <v>1526</v>
      </c>
      <c r="X100" t="s">
        <v>46</v>
      </c>
      <c r="Y100">
        <f>COUNTIFS(L2:L7044,"No internet service",U2:U7044,"Yes")</f>
        <v>113</v>
      </c>
      <c r="Z100" s="3">
        <f>Y100/W100</f>
        <v>7.4049803407601575E-2</v>
      </c>
    </row>
    <row r="101" spans="1:26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6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Y102" t="s">
        <v>7108</v>
      </c>
    </row>
    <row r="103" spans="1:26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W103">
        <f>COUNTIF(N2:N7044,"Yes")</f>
        <v>2707</v>
      </c>
      <c r="X103" t="s">
        <v>23</v>
      </c>
      <c r="Y103">
        <f>COUNTIFS(N2:N7044,"Yes",U2:U7044,"Yes")</f>
        <v>814</v>
      </c>
      <c r="Z103" s="1">
        <f>Y103/W103</f>
        <v>0.30070188400443293</v>
      </c>
    </row>
    <row r="104" spans="1:26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W104">
        <f>COUNTIF(N2:N7044,"No")</f>
        <v>2810</v>
      </c>
      <c r="X104" t="s">
        <v>24</v>
      </c>
      <c r="Y104">
        <f>COUNTIFS(N2:N7044,"No",U2:U7044,"Yes")</f>
        <v>942</v>
      </c>
      <c r="Z104" s="1">
        <f>Y104/W104</f>
        <v>0.33523131672597867</v>
      </c>
    </row>
    <row r="105" spans="1:26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W105">
        <f>COUNTIF(N2:N7044,"No internet service")</f>
        <v>1526</v>
      </c>
      <c r="X105" t="s">
        <v>46</v>
      </c>
      <c r="Y105">
        <f>COUNTIFS(N2:N7044,"No internet service",U2:U7044,"Yes")</f>
        <v>113</v>
      </c>
      <c r="Z105" s="1">
        <f>Y105/W105</f>
        <v>7.4049803407601575E-2</v>
      </c>
    </row>
    <row r="106" spans="1:26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6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Y107" t="s">
        <v>7109</v>
      </c>
    </row>
    <row r="108" spans="1:26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W108">
        <f>COUNTIF(O2:O7044,"Yes")</f>
        <v>2732</v>
      </c>
      <c r="X108" t="s">
        <v>23</v>
      </c>
      <c r="Y108">
        <f>COUNTIFS(O2:O7044,"Yes",U2:U7044,"Yes")</f>
        <v>818</v>
      </c>
      <c r="Z108" s="1">
        <f>Y108/W108</f>
        <v>0.29941434846266474</v>
      </c>
    </row>
    <row r="109" spans="1:26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W109">
        <f>COUNTIF(O2:O7044,"No")</f>
        <v>2785</v>
      </c>
      <c r="X109" t="s">
        <v>24</v>
      </c>
      <c r="Y109">
        <f>COUNTIFS(O2:O7044,"No",U2:U7044,"Yes")</f>
        <v>938</v>
      </c>
      <c r="Z109" s="1">
        <f>Y109/W109</f>
        <v>0.33680430879712747</v>
      </c>
    </row>
    <row r="110" spans="1:26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W110">
        <f>COUNTIF(O2:O7044,"No internet service")</f>
        <v>1526</v>
      </c>
      <c r="X110" t="s">
        <v>46</v>
      </c>
      <c r="Y110">
        <f>COUNTIFS(O2:O7044,"No internet service",U2:U7044,"Yes")</f>
        <v>113</v>
      </c>
      <c r="Z110" s="1">
        <f>Y110/W110</f>
        <v>7.4049803407601575E-2</v>
      </c>
    </row>
    <row r="111" spans="1:26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6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6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Y113" t="s">
        <v>7110</v>
      </c>
    </row>
    <row r="114" spans="1:26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W114">
        <f>COUNTIF(P2:P7044,"Month-to-month")</f>
        <v>3875</v>
      </c>
      <c r="X114" t="s">
        <v>27</v>
      </c>
      <c r="Y114">
        <f>COUNTIFS(P2:P7044,"Month-to-month",U2:U7044,"Yes")</f>
        <v>1655</v>
      </c>
      <c r="Z114" s="1">
        <f>Y114/W114</f>
        <v>0.42709677419354841</v>
      </c>
    </row>
    <row r="115" spans="1:26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W115">
        <f>COUNTIF(P2:P7044,"One year")</f>
        <v>1473</v>
      </c>
      <c r="X115" t="s">
        <v>31</v>
      </c>
      <c r="Y115">
        <f>COUNTIFS(P2:P7044,"One year",U2:U7044,"Yes")</f>
        <v>166</v>
      </c>
      <c r="Z115" s="1">
        <f>Y115/W115</f>
        <v>0.11269517990495587</v>
      </c>
    </row>
    <row r="116" spans="1:26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W116">
        <f>COUNTIF(P2:P7044,"Two year")</f>
        <v>1695</v>
      </c>
      <c r="X116" t="s">
        <v>47</v>
      </c>
      <c r="Y116">
        <f>COUNTIFS(P2:P7044,"Two year",U2:U7044,"Yes")</f>
        <v>48</v>
      </c>
      <c r="Z116" s="1">
        <f>Y116/W116</f>
        <v>2.831858407079646E-2</v>
      </c>
    </row>
    <row r="117" spans="1:26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6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Y118" t="s">
        <v>7111</v>
      </c>
    </row>
    <row r="119" spans="1:26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W119">
        <f>COUNTIF(Q2:Q7044,"Yes")</f>
        <v>4171</v>
      </c>
      <c r="X119" t="s">
        <v>23</v>
      </c>
      <c r="Y119">
        <f>COUNTIFS(Q2:Q7044,"Yes",U2:U7044,"Yes")</f>
        <v>1400</v>
      </c>
      <c r="Z119" s="1">
        <f>Y119/W119</f>
        <v>0.33565092304003835</v>
      </c>
    </row>
    <row r="120" spans="1:26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W120">
        <f>COUNTIF(Q2:Q7044,"No")</f>
        <v>2872</v>
      </c>
      <c r="X120" t="s">
        <v>24</v>
      </c>
      <c r="Y120">
        <f>COUNTIFS(Q2:Q7044,"No",U2:U7044,"Yes")</f>
        <v>469</v>
      </c>
      <c r="Z120" s="1">
        <f>Y120/W120</f>
        <v>0.1633008356545961</v>
      </c>
    </row>
    <row r="121" spans="1:26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6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Y122" t="s">
        <v>7112</v>
      </c>
    </row>
    <row r="123" spans="1:26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W123">
        <f>COUNTIF(B2:B7044,"Female")</f>
        <v>3488</v>
      </c>
      <c r="X123" t="s">
        <v>22</v>
      </c>
      <c r="Y123">
        <f>COUNTIFS(B2:B7044,"Female",U2:U7044,"Yes")</f>
        <v>939</v>
      </c>
      <c r="Z123" s="1">
        <f>Y123/W123</f>
        <v>0.26920871559633025</v>
      </c>
    </row>
    <row r="124" spans="1:26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W124">
        <f>COUNTIF(B2:B7044,"Male")</f>
        <v>3555</v>
      </c>
      <c r="X124" t="s">
        <v>30</v>
      </c>
      <c r="Y124">
        <f>COUNTIFS(B2:B7044,"Male",U2:U7044,"Yes")</f>
        <v>930</v>
      </c>
      <c r="Z124" s="1">
        <f>Y124/W124</f>
        <v>0.26160337552742619</v>
      </c>
    </row>
    <row r="125" spans="1:26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6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6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6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</row>
    <row r="491" spans="1:21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</row>
    <row r="756" spans="1:21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</row>
    <row r="939" spans="1:21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</row>
    <row r="1085" spans="1:21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</row>
    <row r="1343" spans="1:21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</row>
    <row r="3334" spans="1:21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</row>
    <row r="3829" spans="1:21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</row>
    <row r="4383" spans="1:21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</row>
    <row r="5221" spans="1:21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</row>
    <row r="6673" spans="1:21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</row>
    <row r="6757" spans="1:21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autoFilter ref="A1:U7044" xr:uid="{758DCC76-F7FC-4822-BD13-32DDA4B6BF1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Telco_Customer_Churn_RAW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SAHA</dc:creator>
  <cp:lastModifiedBy>Ankit Saha</cp:lastModifiedBy>
  <dcterms:created xsi:type="dcterms:W3CDTF">2026-09-07T19:38:05Z</dcterms:created>
  <dcterms:modified xsi:type="dcterms:W3CDTF">2026-09-15T20:20:47Z</dcterms:modified>
</cp:coreProperties>
</file>